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d.docs.live.net/2abe6725bcf0a897/Investing/Fundamental/AMD/revenue_modelling/AMD_Revenue_Model_Rebuild_v1_2026-08-18/"/>
    </mc:Choice>
  </mc:AlternateContent>
  <xr:revisionPtr revIDLastSave="2" documentId="11_BAD158539F267E3030B4D18B005C9C85D2AA595B" xr6:coauthVersionLast="47" xr6:coauthVersionMax="47" xr10:uidLastSave="{E853F980-FC7D-3348-9E4E-B97C156BD896}"/>
  <bookViews>
    <workbookView xWindow="0" yWindow="600" windowWidth="28800" windowHeight="17400" activeTab="2" xr2:uid="{00000000-000D-0000-FFFF-FFFF00000000}"/>
  </bookViews>
  <sheets>
    <sheet name="Final Output" sheetId="1" r:id="rId1"/>
    <sheet name="Revenue Build" sheetId="2" r:id="rId2"/>
    <sheet name="Assumptions" sheetId="3" r:id="rId3"/>
    <sheet name="Data Center" sheetId="4" r:id="rId4"/>
  </sheets>
  <calcPr calcId="191029" iterate="1" iterateDelta="1E-4"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 l="1"/>
  <c r="E35" i="3"/>
  <c r="B51" i="4" s="1"/>
  <c r="E31" i="3"/>
  <c r="E30" i="3"/>
  <c r="E29" i="3"/>
  <c r="E28" i="3"/>
  <c r="E20" i="3"/>
  <c r="D30" i="4" s="1"/>
  <c r="D20" i="3"/>
  <c r="C20" i="3"/>
  <c r="B20" i="3"/>
  <c r="B21" i="3" s="1"/>
  <c r="F19" i="3"/>
  <c r="F18" i="3"/>
  <c r="F17" i="3"/>
  <c r="Q11" i="3"/>
  <c r="L11" i="3"/>
  <c r="R11" i="2"/>
  <c r="R9" i="1" s="1"/>
  <c r="Q11" i="2"/>
  <c r="Q9" i="1" s="1"/>
  <c r="L11" i="2"/>
  <c r="L9" i="1" s="1"/>
  <c r="G11" i="2"/>
  <c r="G9" i="1" s="1"/>
  <c r="R10" i="2"/>
  <c r="R8" i="1" s="1"/>
  <c r="Q10" i="2"/>
  <c r="Q8" i="1" s="1"/>
  <c r="L10" i="2"/>
  <c r="L8" i="1" s="1"/>
  <c r="G10" i="2"/>
  <c r="G8" i="1" s="1"/>
  <c r="R9" i="2"/>
  <c r="R7" i="1" s="1"/>
  <c r="Q9" i="2"/>
  <c r="Q7" i="1" s="1"/>
  <c r="L9" i="2"/>
  <c r="L7" i="1" s="1"/>
  <c r="G9" i="2"/>
  <c r="G7" i="1" s="1"/>
  <c r="R7" i="2"/>
  <c r="Q7" i="2"/>
  <c r="P7" i="2"/>
  <c r="O7" i="2"/>
  <c r="N7" i="2"/>
  <c r="M7" i="2"/>
  <c r="L7" i="2"/>
  <c r="K7" i="2"/>
  <c r="J7" i="2"/>
  <c r="I7" i="2"/>
  <c r="H7" i="2"/>
  <c r="G7" i="2"/>
  <c r="F7" i="2"/>
  <c r="E7" i="2"/>
  <c r="D7" i="2"/>
  <c r="C7" i="2"/>
  <c r="B7" i="2"/>
  <c r="B4" i="2"/>
  <c r="R37" i="1"/>
  <c r="Q37" i="1"/>
  <c r="P37" i="1"/>
  <c r="O37" i="1"/>
  <c r="N37" i="1"/>
  <c r="M37" i="1"/>
  <c r="L37" i="1"/>
  <c r="K37" i="1"/>
  <c r="J37" i="1"/>
  <c r="I37" i="1"/>
  <c r="H37" i="1"/>
  <c r="G37" i="1"/>
  <c r="F37" i="1"/>
  <c r="E37" i="1"/>
  <c r="D37" i="1"/>
  <c r="C37" i="1"/>
  <c r="B37" i="1"/>
  <c r="R32" i="1"/>
  <c r="Q32" i="1"/>
  <c r="P32" i="1"/>
  <c r="O32" i="1"/>
  <c r="N32" i="1"/>
  <c r="M32" i="1"/>
  <c r="L32" i="1"/>
  <c r="K32" i="1"/>
  <c r="J32" i="1"/>
  <c r="I32" i="1"/>
  <c r="H32" i="1"/>
  <c r="G32" i="1"/>
  <c r="F32" i="1"/>
  <c r="E32" i="1"/>
  <c r="D32" i="1"/>
  <c r="C32" i="1"/>
  <c r="B32" i="1"/>
  <c r="R28" i="1"/>
  <c r="Q28" i="1"/>
  <c r="P28" i="1"/>
  <c r="O28" i="1"/>
  <c r="N28" i="1"/>
  <c r="M28" i="1"/>
  <c r="L28" i="1"/>
  <c r="K28" i="1"/>
  <c r="J28" i="1"/>
  <c r="I28" i="1"/>
  <c r="H28" i="1"/>
  <c r="G28" i="1"/>
  <c r="F28" i="1"/>
  <c r="E28" i="1"/>
  <c r="D28" i="1"/>
  <c r="C28" i="1"/>
  <c r="B28" i="1"/>
  <c r="R23" i="1"/>
  <c r="Q23" i="1"/>
  <c r="P23" i="1"/>
  <c r="O23" i="1"/>
  <c r="N23" i="1"/>
  <c r="M23" i="1"/>
  <c r="L23" i="1"/>
  <c r="K23" i="1"/>
  <c r="J23" i="1"/>
  <c r="I23" i="1"/>
  <c r="H23" i="1"/>
  <c r="G23" i="1"/>
  <c r="F23" i="1"/>
  <c r="E23" i="1"/>
  <c r="D23" i="1"/>
  <c r="C23" i="1"/>
  <c r="B23" i="1"/>
  <c r="R19" i="1"/>
  <c r="Q19" i="1"/>
  <c r="P19" i="1"/>
  <c r="O19" i="1"/>
  <c r="N19" i="1"/>
  <c r="M19" i="1"/>
  <c r="L19" i="1"/>
  <c r="K19" i="1"/>
  <c r="J19" i="1"/>
  <c r="I19" i="1"/>
  <c r="H19" i="1"/>
  <c r="G19" i="1"/>
  <c r="F19" i="1"/>
  <c r="E19" i="1"/>
  <c r="D19" i="1"/>
  <c r="C19" i="1"/>
  <c r="B19" i="1"/>
  <c r="R14" i="1"/>
  <c r="Q14" i="1"/>
  <c r="P14" i="1"/>
  <c r="O14" i="1"/>
  <c r="N14" i="1"/>
  <c r="M14" i="1"/>
  <c r="L14" i="1"/>
  <c r="K14" i="1"/>
  <c r="J14" i="1"/>
  <c r="I14" i="1"/>
  <c r="H14" i="1"/>
  <c r="G14" i="1"/>
  <c r="F14" i="1"/>
  <c r="E14" i="1"/>
  <c r="D14" i="1"/>
  <c r="C14" i="1"/>
  <c r="B14" i="1"/>
  <c r="P9" i="1"/>
  <c r="O9" i="1"/>
  <c r="N9" i="1"/>
  <c r="M9" i="1"/>
  <c r="K9" i="1"/>
  <c r="J9" i="1"/>
  <c r="I9" i="1"/>
  <c r="H9" i="1"/>
  <c r="F9" i="1"/>
  <c r="E9" i="1"/>
  <c r="D9" i="1"/>
  <c r="C9" i="1"/>
  <c r="B9" i="1"/>
  <c r="P8" i="1"/>
  <c r="O8" i="1"/>
  <c r="N8" i="1"/>
  <c r="M8" i="1"/>
  <c r="K8" i="1"/>
  <c r="J8" i="1"/>
  <c r="I8" i="1"/>
  <c r="H8" i="1"/>
  <c r="F8" i="1"/>
  <c r="E8" i="1"/>
  <c r="D8" i="1"/>
  <c r="C8" i="1"/>
  <c r="B8" i="1"/>
  <c r="P7" i="1"/>
  <c r="O7" i="1"/>
  <c r="N7" i="1"/>
  <c r="M7" i="1"/>
  <c r="K7" i="1"/>
  <c r="J7" i="1"/>
  <c r="I7" i="1"/>
  <c r="H7" i="1"/>
  <c r="F7" i="1"/>
  <c r="E7" i="1"/>
  <c r="D7" i="1"/>
  <c r="C7" i="1"/>
  <c r="B7" i="1"/>
  <c r="R5" i="1"/>
  <c r="Q5" i="1"/>
  <c r="P5" i="1"/>
  <c r="O5" i="1"/>
  <c r="N5" i="1"/>
  <c r="M5" i="1"/>
  <c r="L5" i="1"/>
  <c r="K5" i="1"/>
  <c r="J5" i="1"/>
  <c r="I5" i="1"/>
  <c r="H5" i="1"/>
  <c r="G5" i="1"/>
  <c r="F5" i="1"/>
  <c r="E5" i="1"/>
  <c r="D5" i="1"/>
  <c r="C5" i="1"/>
  <c r="B5" i="1"/>
  <c r="B43" i="4"/>
  <c r="R27" i="4"/>
  <c r="Q27" i="4"/>
  <c r="P27" i="4"/>
  <c r="O27" i="4"/>
  <c r="N27" i="4"/>
  <c r="M27" i="4"/>
  <c r="L27" i="4"/>
  <c r="K27" i="4"/>
  <c r="J27" i="4"/>
  <c r="I27" i="4"/>
  <c r="H27" i="4"/>
  <c r="G27" i="4"/>
  <c r="F27" i="4"/>
  <c r="E27" i="4"/>
  <c r="D27" i="4"/>
  <c r="C27" i="4"/>
  <c r="B27" i="4"/>
  <c r="D24" i="4"/>
  <c r="I22" i="4" s="1"/>
  <c r="C24" i="4"/>
  <c r="B24" i="4"/>
  <c r="F22" i="4" s="1"/>
  <c r="E22" i="4"/>
  <c r="E21" i="4"/>
  <c r="D20" i="4"/>
  <c r="I21" i="4" s="1"/>
  <c r="C20" i="4"/>
  <c r="H21" i="4" s="1"/>
  <c r="B20" i="4"/>
  <c r="F21" i="4" s="1"/>
  <c r="P18" i="4"/>
  <c r="O18" i="4"/>
  <c r="N18" i="4"/>
  <c r="M18" i="4"/>
  <c r="K18" i="4"/>
  <c r="J18" i="4"/>
  <c r="I18" i="4"/>
  <c r="H18" i="4"/>
  <c r="F18" i="4"/>
  <c r="E18" i="4"/>
  <c r="E28" i="4" s="1"/>
  <c r="R17" i="4"/>
  <c r="Q17" i="4"/>
  <c r="P17" i="4"/>
  <c r="O17" i="4"/>
  <c r="N17" i="4"/>
  <c r="M17" i="4"/>
  <c r="L17" i="4"/>
  <c r="K17" i="4"/>
  <c r="J17" i="4"/>
  <c r="I17" i="4"/>
  <c r="H17" i="4"/>
  <c r="G17" i="4"/>
  <c r="F17" i="4"/>
  <c r="E17" i="4"/>
  <c r="D17" i="4"/>
  <c r="C17" i="4"/>
  <c r="B17" i="4"/>
  <c r="R7" i="4"/>
  <c r="Q7" i="4"/>
  <c r="P7" i="4"/>
  <c r="O7" i="4"/>
  <c r="N7" i="4"/>
  <c r="M7" i="4"/>
  <c r="L7" i="4"/>
  <c r="K7" i="4"/>
  <c r="J7" i="4"/>
  <c r="I7" i="4"/>
  <c r="H7" i="4"/>
  <c r="G7" i="4"/>
  <c r="F7" i="4"/>
  <c r="E7" i="4"/>
  <c r="D7" i="4"/>
  <c r="C7" i="4"/>
  <c r="B7" i="4"/>
  <c r="B4" i="4"/>
  <c r="F28" i="4" l="1"/>
  <c r="C8" i="4"/>
  <c r="H22" i="4"/>
  <c r="B30" i="4"/>
  <c r="B9" i="4" s="1"/>
  <c r="C21" i="3"/>
  <c r="D9" i="4"/>
  <c r="E29" i="4"/>
  <c r="O28" i="4"/>
  <c r="J28" i="4"/>
  <c r="I28" i="4"/>
  <c r="H28" i="4"/>
  <c r="P28" i="4"/>
  <c r="P20" i="4"/>
  <c r="O19" i="4"/>
  <c r="F20" i="4"/>
  <c r="K21" i="4" s="1"/>
  <c r="K20" i="4"/>
  <c r="P21" i="4" s="1"/>
  <c r="M20" i="4"/>
  <c r="H20" i="4"/>
  <c r="M21" i="4" s="1"/>
  <c r="N19" i="4"/>
  <c r="C23" i="3"/>
  <c r="B8" i="4"/>
  <c r="H19" i="4"/>
  <c r="J19" i="4"/>
  <c r="P19" i="4"/>
  <c r="J20" i="4"/>
  <c r="O21" i="4" s="1"/>
  <c r="O20" i="4"/>
  <c r="D23" i="3"/>
  <c r="E23" i="3"/>
  <c r="D8" i="4"/>
  <c r="K28" i="4"/>
  <c r="E19" i="4"/>
  <c r="M28" i="4"/>
  <c r="F19" i="4"/>
  <c r="N20" i="4"/>
  <c r="N28" i="4"/>
  <c r="K19" i="4"/>
  <c r="F20" i="3"/>
  <c r="F21" i="3" s="1"/>
  <c r="M19" i="4"/>
  <c r="D21" i="3"/>
  <c r="E21" i="3"/>
  <c r="I19" i="4"/>
  <c r="C30" i="4"/>
  <c r="E20" i="4"/>
  <c r="I20" i="4"/>
  <c r="N21" i="4" s="1"/>
  <c r="B10" i="4" l="1"/>
  <c r="D10" i="4"/>
  <c r="H23" i="4"/>
  <c r="H24" i="4" s="1"/>
  <c r="B52" i="4"/>
  <c r="E30" i="4"/>
  <c r="P23" i="4"/>
  <c r="E23" i="4"/>
  <c r="E24" i="4" s="1"/>
  <c r="F23" i="4"/>
  <c r="F24" i="4" s="1"/>
  <c r="O23" i="4"/>
  <c r="M23" i="4"/>
  <c r="B48" i="4"/>
  <c r="K23" i="4"/>
  <c r="N23" i="4"/>
  <c r="B50" i="4"/>
  <c r="B49" i="4"/>
  <c r="J21" i="4"/>
  <c r="J23" i="4" s="1"/>
  <c r="C9" i="4"/>
  <c r="I23" i="4"/>
  <c r="I24" i="4" s="1"/>
  <c r="B13" i="4" l="1"/>
  <c r="B8" i="2"/>
  <c r="B6" i="1" s="1"/>
  <c r="B10" i="1" s="1"/>
  <c r="B12" i="4"/>
  <c r="B14" i="4"/>
  <c r="D8" i="2"/>
  <c r="D14" i="4"/>
  <c r="D12" i="4"/>
  <c r="M22" i="4"/>
  <c r="M24" i="4" s="1"/>
  <c r="M8" i="4" s="1"/>
  <c r="H8" i="4"/>
  <c r="E9" i="4"/>
  <c r="F29" i="4"/>
  <c r="F30" i="4" s="1"/>
  <c r="G24" i="4"/>
  <c r="G8" i="4" s="1"/>
  <c r="J22" i="4"/>
  <c r="J24" i="4" s="1"/>
  <c r="E8" i="4"/>
  <c r="F8" i="4"/>
  <c r="K22" i="4"/>
  <c r="K24" i="4" s="1"/>
  <c r="N22" i="4"/>
  <c r="N24" i="4" s="1"/>
  <c r="I8" i="4"/>
  <c r="C10" i="4"/>
  <c r="R24" i="4"/>
  <c r="R8" i="4" s="1"/>
  <c r="B12" i="2"/>
  <c r="E10" i="4" l="1"/>
  <c r="D12" i="2"/>
  <c r="D6" i="1"/>
  <c r="D10" i="1" s="1"/>
  <c r="G30" i="4"/>
  <c r="G9" i="4" s="1"/>
  <c r="F9" i="4"/>
  <c r="F10" i="4" s="1"/>
  <c r="H29" i="4"/>
  <c r="H30" i="4" s="1"/>
  <c r="L24" i="4"/>
  <c r="L8" i="4" s="1"/>
  <c r="O22" i="4"/>
  <c r="O24" i="4" s="1"/>
  <c r="J8" i="4"/>
  <c r="P22" i="4"/>
  <c r="P24" i="4" s="1"/>
  <c r="K8" i="4"/>
  <c r="C13" i="4"/>
  <c r="C8" i="2"/>
  <c r="C12" i="4"/>
  <c r="D13" i="4"/>
  <c r="B42" i="4"/>
  <c r="B47" i="1" s="1"/>
  <c r="C14" i="4"/>
  <c r="N8" i="4"/>
  <c r="E8" i="2" l="1"/>
  <c r="E12" i="4"/>
  <c r="E13" i="4"/>
  <c r="E14" i="4"/>
  <c r="O8" i="4"/>
  <c r="Q24" i="4"/>
  <c r="Q8" i="4" s="1"/>
  <c r="P8" i="4"/>
  <c r="B47" i="4"/>
  <c r="I29" i="4"/>
  <c r="I30" i="4" s="1"/>
  <c r="R30" i="4" s="1"/>
  <c r="R9" i="4" s="1"/>
  <c r="H9" i="4"/>
  <c r="G10" i="4"/>
  <c r="G14" i="4" s="1"/>
  <c r="F14" i="4"/>
  <c r="F13" i="4"/>
  <c r="F12" i="4"/>
  <c r="F8" i="2"/>
  <c r="C6" i="1"/>
  <c r="C10" i="1" s="1"/>
  <c r="C12" i="2"/>
  <c r="E12" i="2" l="1"/>
  <c r="E6" i="1"/>
  <c r="E10" i="1" s="1"/>
  <c r="H10" i="4"/>
  <c r="H14" i="4" s="1"/>
  <c r="J29" i="4"/>
  <c r="J30" i="4" s="1"/>
  <c r="I9" i="4"/>
  <c r="G12" i="4"/>
  <c r="G8" i="2"/>
  <c r="B44" i="4"/>
  <c r="R10" i="4"/>
  <c r="R14" i="4" s="1"/>
  <c r="F6" i="1"/>
  <c r="F10" i="1" s="1"/>
  <c r="F12" i="2"/>
  <c r="H13" i="4" l="1"/>
  <c r="H8" i="2"/>
  <c r="H12" i="4"/>
  <c r="J9" i="4"/>
  <c r="K29" i="4"/>
  <c r="K30" i="4" s="1"/>
  <c r="I10" i="4"/>
  <c r="I14" i="4" s="1"/>
  <c r="G12" i="2"/>
  <c r="G6" i="1"/>
  <c r="G10" i="1" s="1"/>
  <c r="B46" i="4"/>
  <c r="R12" i="4"/>
  <c r="R8" i="2"/>
  <c r="H12" i="2" l="1"/>
  <c r="H6" i="1"/>
  <c r="H10" i="1" s="1"/>
  <c r="J10" i="4"/>
  <c r="J14" i="4" s="1"/>
  <c r="L30" i="4"/>
  <c r="L9" i="4" s="1"/>
  <c r="M29" i="4"/>
  <c r="M30" i="4" s="1"/>
  <c r="K9" i="4"/>
  <c r="I12" i="4"/>
  <c r="I8" i="2"/>
  <c r="I13" i="4"/>
  <c r="R6" i="1"/>
  <c r="R10" i="1" s="1"/>
  <c r="R12" i="2"/>
  <c r="J13" i="4" l="1"/>
  <c r="J12" i="4"/>
  <c r="J8" i="2"/>
  <c r="M9" i="4"/>
  <c r="N29" i="4"/>
  <c r="N30" i="4" s="1"/>
  <c r="I12" i="2"/>
  <c r="I6" i="1"/>
  <c r="I10" i="1" s="1"/>
  <c r="L10" i="4"/>
  <c r="L14" i="4" s="1"/>
  <c r="K10" i="4"/>
  <c r="K14" i="4" s="1"/>
  <c r="J12" i="2" l="1"/>
  <c r="J6" i="1"/>
  <c r="J10" i="1" s="1"/>
  <c r="O29" i="4"/>
  <c r="O30" i="4" s="1"/>
  <c r="N9" i="4"/>
  <c r="L12" i="4"/>
  <c r="L8" i="2"/>
  <c r="B45" i="4"/>
  <c r="K13" i="4"/>
  <c r="K12" i="4"/>
  <c r="K8" i="2"/>
  <c r="M10" i="4"/>
  <c r="M14" i="4" s="1"/>
  <c r="O9" i="4" l="1"/>
  <c r="P29" i="4"/>
  <c r="P30" i="4" s="1"/>
  <c r="L12" i="2"/>
  <c r="L6" i="1"/>
  <c r="L10" i="1" s="1"/>
  <c r="K12" i="2"/>
  <c r="K6" i="1"/>
  <c r="K10" i="1" s="1"/>
  <c r="M13" i="4"/>
  <c r="M8" i="2"/>
  <c r="M12" i="4"/>
  <c r="N10" i="4"/>
  <c r="N13" i="4" l="1"/>
  <c r="N14" i="4"/>
  <c r="O10" i="4"/>
  <c r="O14" i="4" s="1"/>
  <c r="M12" i="2"/>
  <c r="M6" i="1"/>
  <c r="M10" i="1" s="1"/>
  <c r="N12" i="4"/>
  <c r="N8" i="2"/>
  <c r="P9" i="4"/>
  <c r="Q30" i="4"/>
  <c r="Q9" i="4" s="1"/>
  <c r="O13" i="4" l="1"/>
  <c r="O12" i="4"/>
  <c r="O8" i="2"/>
  <c r="P10" i="4"/>
  <c r="P14" i="4" s="1"/>
  <c r="N6" i="1"/>
  <c r="N10" i="1" s="1"/>
  <c r="N12" i="2"/>
  <c r="Q10" i="4"/>
  <c r="Q14" i="4" s="1"/>
  <c r="O6" i="1" l="1"/>
  <c r="O10" i="1" s="1"/>
  <c r="O12" i="2"/>
  <c r="P12" i="4"/>
  <c r="P8" i="2"/>
  <c r="P13" i="4"/>
  <c r="Q12" i="4"/>
  <c r="Q8" i="2"/>
  <c r="P6" i="1" l="1"/>
  <c r="P10" i="1" s="1"/>
  <c r="P12" i="2"/>
  <c r="Q6" i="1"/>
  <c r="Q10" i="1" s="1"/>
  <c r="Q12" i="2"/>
</calcChain>
</file>

<file path=xl/sharedStrings.xml><?xml version="1.0" encoding="utf-8"?>
<sst xmlns="http://schemas.openxmlformats.org/spreadsheetml/2006/main" count="375" uniqueCount="224">
  <si>
    <t>AMD Data Center Revenue Build</t>
  </si>
  <si>
    <t>Data Center = Server + AI.  Two components only.</t>
  </si>
  <si>
    <t>Calculations, the driver interpolation, method notes, and checks. Every assumption and source reference lives on the Assumptions sheet.</t>
  </si>
  <si>
    <t>Active scenario</t>
  </si>
  <si>
    <t>Set on Assumptions!B5.</t>
  </si>
  <si>
    <t>DATA CENTER REVENUE  -  13 quarters, 3 fiscal years, NTM</t>
  </si>
  <si>
    <t>Period</t>
  </si>
  <si>
    <t>Server ($M)</t>
  </si>
  <si>
    <t>AI ($M)</t>
  </si>
  <si>
    <t>Total Data Center revenue ($M)</t>
  </si>
  <si>
    <t>Memo: Data Center revenue growth, YoY</t>
  </si>
  <si>
    <t>Memo: Data Center revenue growth, QoQ</t>
  </si>
  <si>
    <t>-</t>
  </si>
  <si>
    <t>Memo: AI share of Data Center revenue</t>
  </si>
  <si>
    <t>SERVER REVENUE ESTIMATION  -  same period axis.  Anchors from Assumptions, path interpolated here.</t>
  </si>
  <si>
    <t>Forecast quarter index t   (from the period axis)</t>
  </si>
  <si>
    <t>x86 server CPU market revenue growth (YoY)   [interpolated]</t>
  </si>
  <si>
    <t>AMD x86 server CPU revenue share   [interpolated]</t>
  </si>
  <si>
    <t>Prior-year comparable AMD share (t-4)</t>
  </si>
  <si>
    <t>Prior-year comparable Server revenue (t-4) ($M)</t>
  </si>
  <si>
    <t>Implied AMD Server revenue YoY factor</t>
  </si>
  <si>
    <t>Server revenue ($M)</t>
  </si>
  <si>
    <t>AI REVENUE ESTIMATION  -  same period axis and the same interpolation rule.</t>
  </si>
  <si>
    <t>AI revenue growth (QoQ)   [interpolated]</t>
  </si>
  <si>
    <t>Prior-quarter AI revenue ($M)</t>
  </si>
  <si>
    <t>AI revenue ($M)</t>
  </si>
  <si>
    <t>METHOD  -  how each line is derived (all assumptions and sources: Assumptions sheet)</t>
  </si>
  <si>
    <t>Split</t>
  </si>
  <si>
    <t>Data Center = Server + AI, two components only. Server is EPYC / DC CPU plus the non-accelerator Data Center items (networking, DPU, ZT design services). AI is Instinct / DC GPU and absorbs MI450 from its ramp quarter - there is no separate new-product line.</t>
  </si>
  <si>
    <t>History</t>
  </si>
  <si>
    <t>Q4'25A, Q1'26A and Q2'26A carry AMD's reported Data Center segment revenue. AMD does not disclose the Server / AI split, so Server is a modeling assumption on Assumptions row 19 and AI is the residual. The reported total is never overridden.</t>
  </si>
  <si>
    <t>Interpolation</t>
  </si>
  <si>
    <t>ONLY THE ANCHORS ARE TYPED. Six scenario cells on Assumptions drive everything; no intermediate quarter is hard-coded. Each forecast quarter carries an index t on row 18 (Q3'26E = 0 ... Q4'28E = 9), linked from the period axis. Rates fade linearly from the current anchor toward the long-term anchor: growth(t) = current + (long_term - current) x t / t_FY28avg. Dividing by the FY28E average index rather than the last index is what makes the four FY28E quarterly rates average to the long-term anchor - which is what 'FY28E YoY' means. That divisor is itself computed from the axis, so a quarter roll retargets the fade automatically.</t>
  </si>
  <si>
    <t>Server</t>
  </si>
  <si>
    <t>Server(t) = Server(t-4) x (1 + x86 market growth YoY) x AMD share(t) / AMD share(t-4). AMD's server revenue grows with the x86 server CPU market and with its own share of it; the share ratio converts a market growth rate into an AMD growth rate. Share is a straight line, not a fade: share(t) = current share + share gain per quarter x t. Rolling off t-4 rather than t-1 keeps quarterly seasonality and stops a single anchor quarter compounding into every later period. Q3'26E reaches back to the Q3'25 anchor, just outside the 13-quarter window.</t>
  </si>
  <si>
    <t>AI</t>
  </si>
  <si>
    <t>AI(t) = AI(t-1) x (1 + QoQ growth(t)). A sequential chain, because Instinct revenue is driven by product ramp and supply timing rather than by a stable seasonal pattern. Its QoQ growth path is interpolated between the two AI anchors on Assumptions rows 35-36, on the same fade rule as above.</t>
  </si>
  <si>
    <t>Annual and NTM</t>
  </si>
  <si>
    <t>FY columns are the plain sum of their four quarters - FY26E = Q1'26A + Q2'26A + Q3'26E + Q4'26E, so FY26E is half reported. NTM E = Q3'26E + Q4'26E + Q1'27E + Q2'27E. Rate rows are marked '-' in annual and NTM columns because a growth rate does not aggregate; the annual growth memo on row 12 is computed from the revenue lines instead.</t>
  </si>
  <si>
    <t>Scenarios</t>
  </si>
  <si>
    <t>One live case at a time. Assumptions!B5 selects Bear / Base / Bull; the Active column on Assumptions resolves the six anchors, and this sheet reads only those Active cells.</t>
  </si>
  <si>
    <t>CHECKS</t>
  </si>
  <si>
    <t>Historical Server + AI ties to reported Data Center revenue</t>
  </si>
  <si>
    <t>Server split stays inside the reported total in every actual quarter</t>
  </si>
  <si>
    <t>FY26E equals Q1'26A + Q2'26A + Q3'26E + Q4'26E</t>
  </si>
  <si>
    <t>FY27E and FY28E equal their four quarters</t>
  </si>
  <si>
    <t>NTM E equals Q3'26E + Q4'26E + Q1'27E + Q2'27E</t>
  </si>
  <si>
    <t>Server line is fully calculated across all 10 forecast quarters</t>
  </si>
  <si>
    <t>Market growth hits both anchors (Q3'26E, FY28E avg)</t>
  </si>
  <si>
    <t>Share hits both anchors (Q3'26E start, per-quarter step)</t>
  </si>
  <si>
    <t>AMD x86 share path stays between 0% and 100%</t>
  </si>
  <si>
    <t>AI anchors supplied (Assumptions rows 35-36)</t>
  </si>
  <si>
    <t>AI growth hits both anchors (Q3'26E, FY28E avg)</t>
  </si>
  <si>
    <t>Blue on yellow = input</t>
  </si>
  <si>
    <t>Black = formula / actual</t>
  </si>
  <si>
    <t>Green = link to another sheet</t>
  </si>
  <si>
    <t>Red = external reference</t>
  </si>
  <si>
    <t>Grey '-' = not applicable in this column</t>
  </si>
  <si>
    <t>AMD Revenue Model - Scenario Summary</t>
  </si>
  <si>
    <t>One live effective case plus manually refreshed Bear / Base / Bull snapshots. USD millions.</t>
  </si>
  <si>
    <t>EFFECTIVE CASE (LIVE)</t>
  </si>
  <si>
    <t>Segment ($M)</t>
  </si>
  <si>
    <t>Data Center</t>
  </si>
  <si>
    <t>Client</t>
  </si>
  <si>
    <t>Gaming</t>
  </si>
  <si>
    <t>Embedded</t>
  </si>
  <si>
    <t>Total AMD</t>
  </si>
  <si>
    <t>BEAR CASE  -  MANUAL SNAPSHOT (paste values)</t>
  </si>
  <si>
    <t>BASE CASE  -  MANUAL SNAPSHOT (paste values)</t>
  </si>
  <si>
    <t>BULL CASE  -  MANUAL SNAPSHOT (paste values)</t>
  </si>
  <si>
    <t>MODEL STATUS AND WORKFLOW</t>
  </si>
  <si>
    <t>Stage</t>
  </si>
  <si>
    <t>Data Center live (Server + AI). Client / Gaming / Embedded pending.</t>
  </si>
  <si>
    <t>Period axis</t>
  </si>
  <si>
    <t>13 quarters (Q4'25A - Q4'28E), 3 fiscal years, NTM. 3 actual quarters this cycle.</t>
  </si>
  <si>
    <t>Data Center split</t>
  </si>
  <si>
    <t>Server + AI only. MI450 sits inside AI.</t>
  </si>
  <si>
    <t>Drivers</t>
  </si>
  <si>
    <t>Six scenario anchors on Assumptions. Every quarter in between is interpolated, not typed.</t>
  </si>
  <si>
    <t>Blocking input</t>
  </si>
  <si>
    <t>AI current and long-term growth anchors, Bear / Base / Bull - Assumptions rows 35-36.</t>
  </si>
  <si>
    <t>Data Center check</t>
  </si>
  <si>
    <t>Workflow</t>
  </si>
  <si>
    <t>Pick the scenario on Assumptions!B5, recalculate, then copy B6:R9 above and paste-special VALUES into the matching snapshot block.</t>
  </si>
  <si>
    <t>AMD Revenue Build - Staging Layer</t>
  </si>
  <si>
    <t>One live scenario. Data Center is built bottom-up on its own sheet; Client, Gaming and Embedded are blank inputs until their driver builds are added.</t>
  </si>
  <si>
    <t>EFFECTIVE CASE BUILD  -  13 quarters, 3 fiscal years, NTM</t>
  </si>
  <si>
    <t>Data Center is the only live build. Client, Gaming and Embedded stay blank inputs on this sheet until their own driver builds exist - a blank is honest, a placeholder is not.</t>
  </si>
  <si>
    <t>AMD Revenue Model - Central Assumptions</t>
  </si>
  <si>
    <t>Every assumption, historical anchor, and source reference in this model lives on this sheet. The Data Center sheet holds the calculations, the interpolation, method notes, and checks.</t>
  </si>
  <si>
    <t>Build date 2026-08-18  |  Blue on yellow = input you may edit  |  Black = formula  |  Green = link to another sheet  |  Red = external reference  |  Grey = not applicable in this column</t>
  </si>
  <si>
    <t>SCENARIO CONTROL</t>
  </si>
  <si>
    <t>Base</t>
  </si>
  <si>
    <t>Type Bear, Base or Bull. Drives every "Active" cell below, and through them the whole model.</t>
  </si>
  <si>
    <t>1. PERIOD AXIS  -  13 quarters + 3 fiscal years + NTM.  Roll the quarter here and every sheet follows.</t>
  </si>
  <si>
    <t>Period label</t>
  </si>
  <si>
    <t>Q4'25A</t>
  </si>
  <si>
    <t>Q1'26A</t>
  </si>
  <si>
    <t>Q2'26A</t>
  </si>
  <si>
    <t>Q3'26E</t>
  </si>
  <si>
    <t>Q4'26E</t>
  </si>
  <si>
    <t>FY26E</t>
  </si>
  <si>
    <t>Q1'27E</t>
  </si>
  <si>
    <t>Q2'27E</t>
  </si>
  <si>
    <t>Q3'27E</t>
  </si>
  <si>
    <t>Q4'27E</t>
  </si>
  <si>
    <t>FY27E</t>
  </si>
  <si>
    <t>Q1'28E</t>
  </si>
  <si>
    <t>Q2'28E</t>
  </si>
  <si>
    <t>Q3'28E</t>
  </si>
  <si>
    <t>Q4'28E</t>
  </si>
  <si>
    <t>FY28E</t>
  </si>
  <si>
    <t>NTM E</t>
  </si>
  <si>
    <t>Period type</t>
  </si>
  <si>
    <t>Actual</t>
  </si>
  <si>
    <t>Estimate</t>
  </si>
  <si>
    <t>Fiscal year</t>
  </si>
  <si>
    <t>Next 12M</t>
  </si>
  <si>
    <t>Quarter end / definition</t>
  </si>
  <si>
    <t>2025-12-27</t>
  </si>
  <si>
    <t>2026-03-28</t>
  </si>
  <si>
    <t>2026-06-27</t>
  </si>
  <si>
    <t>2026-09-26</t>
  </si>
  <si>
    <t>2026-12-26</t>
  </si>
  <si>
    <t>FY26 (Q1'26-Q4'26)</t>
  </si>
  <si>
    <t>2027-03-27</t>
  </si>
  <si>
    <t>2027-06-26</t>
  </si>
  <si>
    <t>2027-09-25</t>
  </si>
  <si>
    <t>2027-12-25</t>
  </si>
  <si>
    <t>FY27 (Q1'27-Q4'27)</t>
  </si>
  <si>
    <t>2028-04-01</t>
  </si>
  <si>
    <t>2028-07-01</t>
  </si>
  <si>
    <t>2028-09-30</t>
  </si>
  <si>
    <t>2028-12-30</t>
  </si>
  <si>
    <t>FY28 (Q1'28-Q4'28)</t>
  </si>
  <si>
    <t>NTM (Q3'26E-Q2'27E)</t>
  </si>
  <si>
    <t>Forecast quarter index t   (Q3'26E = 0)</t>
  </si>
  <si>
    <t>The index drives every interpolation. Annual columns show the average index of their four quarters; the FY28E cell (Q11) is the fade divisor, so nothing is hard-coded and the fade retargets itself when the window rolls. Rolling: relabel Q3'26E to Q3'26A, add the reported quarter to the anchor block, and shift the axis one column. Three of the 13 quarters are actual this cycle; that count runs 1-3.</t>
  </si>
  <si>
    <t>2. HISTORICAL ANCHORS  -  reported actuals (hard) and the Server / AI split (assumption)</t>
  </si>
  <si>
    <t>Careful: this block is offset one quarter EARLIER than the main axis above - it runs Q3'25A to Q2'26A. The Server method needs the t-4 anchor for Q3'26E, and Q3'25 sits outside the 13-quarter window. Read this block off its own header row below, not off the period axis.</t>
  </si>
  <si>
    <t>Item</t>
  </si>
  <si>
    <t>Q3'25A</t>
  </si>
  <si>
    <t>LTM to Q2'26</t>
  </si>
  <si>
    <t>Units</t>
  </si>
  <si>
    <t>Classification</t>
  </si>
  <si>
    <t>Ref</t>
  </si>
  <si>
    <t>Data Center segment revenue ($M)</t>
  </si>
  <si>
    <t>$M</t>
  </si>
  <si>
    <t>Reported - hard fact</t>
  </si>
  <si>
    <t>R1</t>
  </si>
  <si>
    <t>Prior-year comparable Data Center revenue ($M)</t>
  </si>
  <si>
    <t>Reported - hard fact (t-4)</t>
  </si>
  <si>
    <t>Server revenue ($M)  [DC CPU + networking / DPU / ZT design]</t>
  </si>
  <si>
    <t>Modeling assumption - editable</t>
  </si>
  <si>
    <t>R2</t>
  </si>
  <si>
    <t>AI revenue ($M)  [Instinct / DC GPU, incl. MI450 from ramp]</t>
  </si>
  <si>
    <t>Residual = reported total less Server</t>
  </si>
  <si>
    <t>AI share of Data Center revenue</t>
  </si>
  <si>
    <t>%</t>
  </si>
  <si>
    <t>Memo - implied by the split above</t>
  </si>
  <si>
    <t>AMD x86 server CPU revenue share</t>
  </si>
  <si>
    <t>% share</t>
  </si>
  <si>
    <t>External reference - Mercury Research</t>
  </si>
  <si>
    <t>R3</t>
  </si>
  <si>
    <t>AI revenue growth, QoQ (actual)</t>
  </si>
  <si>
    <t>% QoQ</t>
  </si>
  <si>
    <t>Memo - realised path; calibrate the AI anchors (rows 35-36) to it</t>
  </si>
  <si>
    <t>FY25 Data Center segment revenue ($M)</t>
  </si>
  <si>
    <t>Reported - hard fact, base for the FY26E YoY memo</t>
  </si>
  <si>
    <t>3. SERVER (DC CPU) DRIVERS  -  scenario anchors only.  Every quarter in between is derived on the Data Center sheet.</t>
  </si>
  <si>
    <t>Assumption</t>
  </si>
  <si>
    <t>Bear</t>
  </si>
  <si>
    <t>Bull</t>
  </si>
  <si>
    <t>Active</t>
  </si>
  <si>
    <t>Note</t>
  </si>
  <si>
    <t>Current x86 market growth (Q3'26E YoY)</t>
  </si>
  <si>
    <t>% YoY</t>
  </si>
  <si>
    <t>R4</t>
  </si>
  <si>
    <t>Near-term anchor. The derived quarterly path starts here, at forecast index t = 0.</t>
  </si>
  <si>
    <t>Long-term x86 market growth (FY28E YoY)</t>
  </si>
  <si>
    <t>R4, R5</t>
  </si>
  <si>
    <t>Long-term anchor. The fade is scaled so the four FY28E quarterly rates average to this.</t>
  </si>
  <si>
    <t>Current AMD x86 revenue share (Q3'26E)</t>
  </si>
  <si>
    <t>Starting share for the forecast path, at t = 0. Historical shares are in the anchor block above.</t>
  </si>
  <si>
    <t>AMD share gain rate per quarter</t>
  </si>
  <si>
    <t>ppt/qtr</t>
  </si>
  <si>
    <t>Added to the starting share once per forecast quarter: share(t) = current + gain x t.</t>
  </si>
  <si>
    <t>4. AI (INSTINCT / DC GPU) DRIVERS  -  scenario anchors only.  Same interpolation rule as Server.</t>
  </si>
  <si>
    <t>Current AI growth (Q3'26E QoQ)</t>
  </si>
  <si>
    <t>R6</t>
  </si>
  <si>
    <t>Near-term anchor at t = 0. Realised QoQ history is on the anchor block above for calibration.</t>
  </si>
  <si>
    <t>Long-term AI growth (FY28E avg QoQ)</t>
  </si>
  <si>
    <t>Long-term anchor, on the same fade rule as x86 market growth.</t>
  </si>
  <si>
    <t>REQUIRED INPUT - the six AI cells above are intentionally blank. No AI growth path has been supplied and the build will not invent one. Until they are filled the AI line, the Data Center total, and every downstream total stay blank by design. Row 23 holds the realised QoQ history to calibrate against; MI450 belongs inside this single AI line from its ramp quarter, not in a separate row.</t>
  </si>
  <si>
    <t>5. SOURCES AND REFERENCE LINKS</t>
  </si>
  <si>
    <t>As of</t>
  </si>
  <si>
    <t>Source / note</t>
  </si>
  <si>
    <t>Link</t>
  </si>
  <si>
    <t>AMD reported Data Center segment revenue, Q3'25-Q2'26 and FY25</t>
  </si>
  <si>
    <t>Reported (hard)</t>
  </si>
  <si>
    <t>2026-08-05</t>
  </si>
  <si>
    <t>AMD Selected Corporate Data (Q4'25, Q1'26, Q2'26 releases) and Q2'26 10-Q Note 4. Local copies: Financial_Tables/AMD-2025-Q4.xlsx, AMD-2026-Q1.xlsx, AMD-2026-Q2.xlsx; AMD_Obsidian/AMD_10-Q_Q2-FY2026/44-note-04-segment-reporting.md</t>
  </si>
  <si>
    <t>https://ir.amd.com/financial-information/quarterly-results</t>
  </si>
  <si>
    <t>Historical Server / AI split of reported Data Center revenue</t>
  </si>
  <si>
    <t>Derived assumption</t>
  </si>
  <si>
    <t>2026-08-13</t>
  </si>
  <si>
    <t>LP reconciliation of every disclosed AMD constraint (smoothest feasible split); see revenue_modelling/BUILD_LOG.md. Supersedes the earlier hand-entered $3,300M single-quarter Q2'26 Server estimate, which could not anchor a four-quarter YoY roll.</t>
  </si>
  <si>
    <t>AMD x86 server CPU revenue share (historical and forecast anchor)</t>
  </si>
  <si>
    <t>External reference</t>
  </si>
  <si>
    <t>2026-05-01</t>
  </si>
  <si>
    <t>Mercury Research quarterly x86 share, reported via Tom's Hardware.</t>
  </si>
  <si>
    <t>https://www.tomshardware.com/pc-components/cpus/amd-reaches-46-percent-of-server-x86-cpu-revenue-intel-still-controls-70-percent-of-the-consumer-pc-market-share</t>
  </si>
  <si>
    <t>x86 server CPU market revenue growth (near-term anchor)</t>
  </si>
  <si>
    <t>2026-05-06</t>
  </si>
  <si>
    <t>AMD Q1 2026 earnings call transcript, management commentary on server demand.</t>
  </si>
  <si>
    <t>https://d1io3yog0oux5.cloudfront.net/_3a6def5a328d14d7990e894d5269c4ad/amd/db/841/9232/webcast_transcript/AMD_1Q_2026_Earnings.pdf</t>
  </si>
  <si>
    <t>R5</t>
  </si>
  <si>
    <t>AMD / Arm server CPU share gain vs Intel</t>
  </si>
  <si>
    <t>2026-05-20</t>
  </si>
  <si>
    <t>UBS server-share summary.</t>
  </si>
  <si>
    <t>https://seekingalpha.com/news/4592334-amd-arm-gain-server-cpu-share-at-intels-expense-in-q1-ubs</t>
  </si>
  <si>
    <t>AI growth anchors (Bear / Base / Bull)</t>
  </si>
  <si>
    <t>REQUIRED INPUT - not yet supplied</t>
  </si>
  <si>
    <t>User-supplied scenario input: two anchors per scenario, Assumptions rows 35-36. Until they are populated the AI line, the Data Center total, and every downstream total stay blank by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</si>
</sst>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3" x14ac:knownFonts="1">
    <font>
      <sz val="11"/>
      <color theme="1"/>
      <name val="Calibri"/>
      <family val="2"/>
      <scheme val="minor"/>
    </font>
    <font>
      <b/>
      <sz val="14"/>
      <color rgb="FF1F3864"/>
      <name val="Calibri"/>
      <family val="2"/>
    </font>
    <font>
      <i/>
      <sz val="9"/>
      <color rgb="FF44546A"/>
      <name val="Calibri"/>
      <family val="2"/>
    </font>
    <font>
      <b/>
      <sz val="10"/>
      <color rgb="FFFFFFFF"/>
      <name val="Calibri"/>
      <family val="2"/>
    </font>
    <font>
      <b/>
      <sz val="10"/>
      <color rgb="FF1F3864"/>
      <name val="Calibri"/>
      <family val="2"/>
    </font>
    <font>
      <sz val="10"/>
      <color rgb="FF000000"/>
      <name val="Calibri"/>
      <family val="2"/>
    </font>
    <font>
      <sz val="10"/>
      <color rgb="FF007A33"/>
      <name val="Calibri"/>
      <family val="2"/>
    </font>
    <font>
      <b/>
      <sz val="10"/>
      <color rgb="FF000000"/>
      <name val="Calibri"/>
      <family val="2"/>
    </font>
    <font>
      <sz val="10"/>
      <color rgb="FF0000FF"/>
      <name val="Calibri"/>
      <family val="2"/>
    </font>
    <font>
      <sz val="9"/>
      <color rgb="FF44546A"/>
      <name val="Calibri"/>
      <family val="2"/>
    </font>
    <font>
      <sz val="10"/>
      <color rgb="FF9C0006"/>
      <name val="Calibri"/>
      <family val="2"/>
    </font>
    <font>
      <sz val="10"/>
      <color rgb="FF808080"/>
      <name val="Calibri"/>
      <family val="2"/>
    </font>
    <font>
      <u/>
      <sz val="9"/>
      <color rgb="FF9C0006"/>
      <name val="Calibri"/>
      <family val="2"/>
    </font>
  </fonts>
  <fills count="7">
    <fill>
      <patternFill patternType="none"/>
    </fill>
    <fill>
      <patternFill patternType="gray125"/>
    </fill>
    <fill>
      <patternFill patternType="solid">
        <fgColor rgb="FF1F3864"/>
      </patternFill>
    </fill>
    <fill>
      <patternFill patternType="solid">
        <fgColor rgb="FFF2F2F2"/>
      </patternFill>
    </fill>
    <fill>
      <patternFill patternType="solid">
        <fgColor rgb="FFF7F9FC"/>
      </patternFill>
    </fill>
    <fill>
      <patternFill patternType="solid">
        <fgColor rgb="FFFFF2CC"/>
      </patternFill>
    </fill>
    <fill>
      <patternFill patternType="solid">
        <fgColor rgb="FFEDEDED"/>
      </patternFill>
    </fill>
  </fills>
  <borders count="6">
    <border>
      <left/>
      <right/>
      <top/>
      <bottom/>
      <diagonal/>
    </border>
    <border>
      <left/>
      <right/>
      <top/>
      <bottom style="thin">
        <color rgb="FF1F3864"/>
      </bottom>
      <diagonal/>
    </border>
    <border>
      <left/>
      <right/>
      <top style="thin">
        <color rgb="FF1F3864"/>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1" xfId="0" applyFont="1" applyFill="1" applyBorder="1" applyAlignment="1">
      <alignment horizontal="left"/>
    </xf>
    <xf numFmtId="0" fontId="4" fillId="3" borderId="1" xfId="0" applyFont="1" applyFill="1" applyBorder="1" applyAlignment="1">
      <alignment horizontal="center"/>
    </xf>
    <xf numFmtId="0" fontId="5" fillId="0" borderId="0" xfId="0" applyFont="1"/>
    <xf numFmtId="3" fontId="6" fillId="0" borderId="0" xfId="0" applyNumberFormat="1" applyFont="1" applyAlignment="1">
      <alignment horizontal="right"/>
    </xf>
    <xf numFmtId="0" fontId="7" fillId="0" borderId="0" xfId="0" applyFont="1"/>
    <xf numFmtId="3" fontId="7" fillId="4" borderId="2" xfId="0" applyNumberFormat="1" applyFont="1" applyFill="1" applyBorder="1" applyAlignment="1">
      <alignment horizontal="right"/>
    </xf>
    <xf numFmtId="3" fontId="8" fillId="5" borderId="3" xfId="0" applyNumberFormat="1" applyFont="1" applyFill="1" applyBorder="1" applyAlignment="1">
      <alignment horizontal="right"/>
    </xf>
    <xf numFmtId="0" fontId="9" fillId="0" borderId="0" xfId="0" applyFont="1" applyAlignment="1">
      <alignment horizontal="left" vertical="top" wrapText="1"/>
    </xf>
    <xf numFmtId="0" fontId="8" fillId="0" borderId="0" xfId="0" applyFont="1"/>
    <xf numFmtId="0" fontId="6" fillId="0" borderId="0" xfId="0" applyFont="1"/>
    <xf numFmtId="0" fontId="10" fillId="0" borderId="0" xfId="0" applyFont="1"/>
    <xf numFmtId="0" fontId="6" fillId="0" borderId="3" xfId="0" applyFont="1" applyBorder="1" applyAlignment="1">
      <alignment horizontal="center"/>
    </xf>
    <xf numFmtId="0" fontId="9" fillId="0" borderId="0" xfId="0" applyFont="1"/>
    <xf numFmtId="0" fontId="8" fillId="5" borderId="3" xfId="0" applyFont="1" applyFill="1" applyBorder="1" applyAlignment="1">
      <alignment horizontal="center"/>
    </xf>
    <xf numFmtId="0" fontId="4" fillId="3" borderId="1" xfId="0" applyFont="1" applyFill="1" applyBorder="1"/>
    <xf numFmtId="0" fontId="11" fillId="0" borderId="0" xfId="0" applyFont="1" applyAlignment="1">
      <alignment horizontal="center"/>
    </xf>
    <xf numFmtId="0" fontId="5" fillId="0" borderId="0" xfId="0" applyFont="1" applyAlignment="1">
      <alignment horizontal="center"/>
    </xf>
    <xf numFmtId="0" fontId="9" fillId="0" borderId="0" xfId="0" applyFont="1" applyAlignment="1">
      <alignment horizontal="center"/>
    </xf>
    <xf numFmtId="0" fontId="11" fillId="6" borderId="0" xfId="0" applyFont="1" applyFill="1" applyAlignment="1">
      <alignment horizontal="center"/>
    </xf>
    <xf numFmtId="164" fontId="7" fillId="4" borderId="0" xfId="0" applyNumberFormat="1" applyFont="1" applyFill="1" applyAlignment="1">
      <alignment horizontal="right"/>
    </xf>
    <xf numFmtId="3" fontId="7" fillId="0" borderId="0" xfId="0" applyNumberFormat="1" applyFont="1" applyAlignment="1">
      <alignment horizontal="right"/>
    </xf>
    <xf numFmtId="3" fontId="5" fillId="0" borderId="0" xfId="0" applyNumberFormat="1" applyFont="1" applyAlignment="1">
      <alignment horizontal="right"/>
    </xf>
    <xf numFmtId="0" fontId="10" fillId="0" borderId="0" xfId="0" applyFont="1" applyAlignment="1">
      <alignment horizontal="center"/>
    </xf>
    <xf numFmtId="3" fontId="10" fillId="0" borderId="0" xfId="0" applyNumberFormat="1" applyFont="1" applyAlignment="1">
      <alignment horizontal="right"/>
    </xf>
    <xf numFmtId="165" fontId="5" fillId="0" borderId="0" xfId="0" applyNumberFormat="1" applyFont="1" applyAlignment="1">
      <alignment horizontal="right"/>
    </xf>
    <xf numFmtId="165" fontId="8" fillId="5" borderId="3" xfId="0" applyNumberFormat="1" applyFont="1" applyFill="1" applyBorder="1" applyAlignment="1">
      <alignment horizontal="right"/>
    </xf>
    <xf numFmtId="165" fontId="7" fillId="4" borderId="3" xfId="0" applyNumberFormat="1" applyFont="1" applyFill="1" applyBorder="1" applyAlignment="1">
      <alignment horizontal="right"/>
    </xf>
    <xf numFmtId="10" fontId="8" fillId="5" borderId="3" xfId="0" applyNumberFormat="1" applyFont="1" applyFill="1" applyBorder="1" applyAlignment="1">
      <alignment horizontal="right"/>
    </xf>
    <xf numFmtId="10" fontId="7" fillId="4" borderId="3" xfId="0" applyNumberFormat="1" applyFont="1" applyFill="1" applyBorder="1" applyAlignment="1">
      <alignment horizontal="right"/>
    </xf>
    <xf numFmtId="0" fontId="10" fillId="0" borderId="0" xfId="0" applyFont="1" applyAlignment="1">
      <alignment horizontal="left" vertical="top" wrapText="1"/>
    </xf>
    <xf numFmtId="164" fontId="6" fillId="0" borderId="0" xfId="0" applyNumberFormat="1" applyFont="1" applyAlignment="1">
      <alignment horizontal="right"/>
    </xf>
    <xf numFmtId="165" fontId="6" fillId="0" borderId="0" xfId="0" applyNumberFormat="1" applyFont="1" applyAlignment="1">
      <alignment horizontal="right"/>
    </xf>
    <xf numFmtId="166" fontId="5" fillId="0" borderId="0" xfId="0" applyNumberFormat="1" applyFont="1" applyAlignment="1">
      <alignment horizontal="right"/>
    </xf>
    <xf numFmtId="0" fontId="7" fillId="0" borderId="0" xfId="0" applyFont="1" applyAlignment="1">
      <alignment horizontal="left" vertical="top"/>
    </xf>
    <xf numFmtId="0" fontId="11" fillId="0" borderId="0" xfId="0" applyFont="1"/>
    <xf numFmtId="0" fontId="4" fillId="3" borderId="1" xfId="0" applyFont="1" applyFill="1" applyBorder="1"/>
    <xf numFmtId="0" fontId="0" fillId="0" borderId="4" xfId="0" applyBorder="1"/>
    <xf numFmtId="0" fontId="9" fillId="0" borderId="0" xfId="0" applyFont="1" applyAlignment="1">
      <alignment horizontal="left" vertical="top" wrapText="1"/>
    </xf>
    <xf numFmtId="0" fontId="0" fillId="0" borderId="0" xfId="0"/>
    <xf numFmtId="0" fontId="12" fillId="0" borderId="0" xfId="0" applyFont="1" applyAlignment="1">
      <alignment horizontal="left" vertical="top" wrapText="1"/>
    </xf>
    <xf numFmtId="0" fontId="5" fillId="0" borderId="0" xfId="0" applyFont="1" applyAlignment="1">
      <alignment horizontal="left" vertical="top" wrapText="1"/>
    </xf>
    <xf numFmtId="0" fontId="7" fillId="0" borderId="3" xfId="0" applyFont="1" applyBorder="1" applyAlignment="1">
      <alignment horizontal="center"/>
    </xf>
    <xf numFmtId="0" fontId="0" fillId="0" borderId="5"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1io3yog0oux5.cloudfront.net/_3a6def5a328d14d7990e894d5269c4ad/amd/db/841/9232/webcast_transcript/AMD_1Q_2026_Earnings.pdf" TargetMode="External"/><Relationship Id="rId2" Type="http://schemas.openxmlformats.org/officeDocument/2006/relationships/hyperlink" Target="https://www.tomshardware.com/pc-components/cpus/amd-reaches-46-percent-of-server-x86-cpu-revenue-intel-still-controls-70-percent-of-the-consumer-pc-market-share" TargetMode="External"/><Relationship Id="rId1" Type="http://schemas.openxmlformats.org/officeDocument/2006/relationships/hyperlink" Target="https://ir.amd.com/financial-information/quarterly-results" TargetMode="External"/><Relationship Id="rId4" Type="http://schemas.openxmlformats.org/officeDocument/2006/relationships/hyperlink" Target="https://seekingalpha.com/news/4592334-amd-arm-gain-server-cpu-share-at-intels-expense-in-q1-ub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showGridLines="0" workbookViewId="0">
      <pane xSplit="1" ySplit="5" topLeftCell="B6" activePane="bottomRight" state="frozen"/>
      <selection pane="topRight"/>
      <selection pane="bottomLeft"/>
      <selection pane="bottomRight"/>
    </sheetView>
  </sheetViews>
  <sheetFormatPr baseColWidth="10" defaultColWidth="8.83203125" defaultRowHeight="15" x14ac:dyDescent="0.2"/>
  <cols>
    <col min="1" max="1" width="40" customWidth="1"/>
    <col min="2" max="6" width="11" customWidth="1"/>
    <col min="7" max="7" width="12.5" customWidth="1"/>
    <col min="8" max="11" width="11" customWidth="1"/>
    <col min="12" max="12" width="12.5" customWidth="1"/>
    <col min="13" max="16" width="11" customWidth="1"/>
    <col min="17" max="18" width="12.5" customWidth="1"/>
  </cols>
  <sheetData>
    <row r="1" spans="1:18" ht="19" x14ac:dyDescent="0.25">
      <c r="A1" s="1" t="s">
        <v>58</v>
      </c>
    </row>
    <row r="2" spans="1:18" x14ac:dyDescent="0.2">
      <c r="A2" s="2" t="s">
        <v>59</v>
      </c>
    </row>
    <row r="4" spans="1:18" ht="17" customHeight="1" x14ac:dyDescent="0.2">
      <c r="A4" s="3" t="s">
        <v>60</v>
      </c>
      <c r="B4" s="4"/>
      <c r="C4" s="4"/>
      <c r="D4" s="4"/>
      <c r="E4" s="4"/>
      <c r="F4" s="4"/>
      <c r="G4" s="4"/>
      <c r="H4" s="4"/>
      <c r="I4" s="4"/>
      <c r="J4" s="4"/>
      <c r="K4" s="4"/>
      <c r="L4" s="4"/>
      <c r="M4" s="4"/>
      <c r="N4" s="4"/>
      <c r="O4" s="4"/>
      <c r="P4" s="4"/>
      <c r="Q4" s="4"/>
      <c r="R4" s="4"/>
    </row>
    <row r="5" spans="1:18" ht="15" customHeight="1" x14ac:dyDescent="0.2">
      <c r="A5" s="5" t="s">
        <v>61</v>
      </c>
      <c r="B5" s="6" t="str">
        <f>Assumptions!B$8</f>
        <v>Q4'25A</v>
      </c>
      <c r="C5" s="6" t="str">
        <f>Assumptions!C$8</f>
        <v>Q1'26A</v>
      </c>
      <c r="D5" s="6" t="str">
        <f>Assumptions!D$8</f>
        <v>Q2'26A</v>
      </c>
      <c r="E5" s="6" t="str">
        <f>Assumptions!E$8</f>
        <v>Q3'26E</v>
      </c>
      <c r="F5" s="6" t="str">
        <f>Assumptions!F$8</f>
        <v>Q4'26E</v>
      </c>
      <c r="G5" s="6" t="str">
        <f>Assumptions!G$8</f>
        <v>FY26E</v>
      </c>
      <c r="H5" s="6" t="str">
        <f>Assumptions!H$8</f>
        <v>Q1'27E</v>
      </c>
      <c r="I5" s="6" t="str">
        <f>Assumptions!I$8</f>
        <v>Q2'27E</v>
      </c>
      <c r="J5" s="6" t="str">
        <f>Assumptions!J$8</f>
        <v>Q3'27E</v>
      </c>
      <c r="K5" s="6" t="str">
        <f>Assumptions!K$8</f>
        <v>Q4'27E</v>
      </c>
      <c r="L5" s="6" t="str">
        <f>Assumptions!L$8</f>
        <v>FY27E</v>
      </c>
      <c r="M5" s="6" t="str">
        <f>Assumptions!M$8</f>
        <v>Q1'28E</v>
      </c>
      <c r="N5" s="6" t="str">
        <f>Assumptions!N$8</f>
        <v>Q2'28E</v>
      </c>
      <c r="O5" s="6" t="str">
        <f>Assumptions!O$8</f>
        <v>Q3'28E</v>
      </c>
      <c r="P5" s="6" t="str">
        <f>Assumptions!P$8</f>
        <v>Q4'28E</v>
      </c>
      <c r="Q5" s="6" t="str">
        <f>Assumptions!Q$8</f>
        <v>FY28E</v>
      </c>
      <c r="R5" s="6" t="str">
        <f>Assumptions!R$8</f>
        <v>NTM E</v>
      </c>
    </row>
    <row r="6" spans="1:18" x14ac:dyDescent="0.2">
      <c r="A6" s="7" t="s">
        <v>62</v>
      </c>
      <c r="B6" s="8">
        <f>'Revenue Build'!B8</f>
        <v>5380</v>
      </c>
      <c r="C6" s="8">
        <f>'Revenue Build'!C8</f>
        <v>5775</v>
      </c>
      <c r="D6" s="8">
        <f>'Revenue Build'!D8</f>
        <v>6718</v>
      </c>
      <c r="E6" s="8" t="str">
        <f>'Revenue Build'!E8</f>
        <v/>
      </c>
      <c r="F6" s="8" t="str">
        <f>'Revenue Build'!F8</f>
        <v/>
      </c>
      <c r="G6" s="8" t="str">
        <f>'Revenue Build'!G8</f>
        <v/>
      </c>
      <c r="H6" s="8" t="str">
        <f>'Revenue Build'!H8</f>
        <v/>
      </c>
      <c r="I6" s="8" t="str">
        <f>'Revenue Build'!I8</f>
        <v/>
      </c>
      <c r="J6" s="8" t="str">
        <f>'Revenue Build'!J8</f>
        <v/>
      </c>
      <c r="K6" s="8" t="str">
        <f>'Revenue Build'!K8</f>
        <v/>
      </c>
      <c r="L6" s="8" t="str">
        <f>'Revenue Build'!L8</f>
        <v/>
      </c>
      <c r="M6" s="8" t="str">
        <f>'Revenue Build'!M8</f>
        <v/>
      </c>
      <c r="N6" s="8" t="str">
        <f>'Revenue Build'!N8</f>
        <v/>
      </c>
      <c r="O6" s="8" t="str">
        <f>'Revenue Build'!O8</f>
        <v/>
      </c>
      <c r="P6" s="8" t="str">
        <f>'Revenue Build'!P8</f>
        <v/>
      </c>
      <c r="Q6" s="8" t="str">
        <f>'Revenue Build'!Q8</f>
        <v/>
      </c>
      <c r="R6" s="8" t="str">
        <f>'Revenue Build'!R8</f>
        <v/>
      </c>
    </row>
    <row r="7" spans="1:18" x14ac:dyDescent="0.2">
      <c r="A7" s="7" t="s">
        <v>63</v>
      </c>
      <c r="B7" s="8">
        <f>'Revenue Build'!B9</f>
        <v>0</v>
      </c>
      <c r="C7" s="8">
        <f>'Revenue Build'!C9</f>
        <v>0</v>
      </c>
      <c r="D7" s="8">
        <f>'Revenue Build'!D9</f>
        <v>0</v>
      </c>
      <c r="E7" s="8">
        <f>'Revenue Build'!E9</f>
        <v>0</v>
      </c>
      <c r="F7" s="8">
        <f>'Revenue Build'!F9</f>
        <v>0</v>
      </c>
      <c r="G7" s="8" t="str">
        <f>'Revenue Build'!G9</f>
        <v/>
      </c>
      <c r="H7" s="8">
        <f>'Revenue Build'!H9</f>
        <v>0</v>
      </c>
      <c r="I7" s="8">
        <f>'Revenue Build'!I9</f>
        <v>0</v>
      </c>
      <c r="J7" s="8">
        <f>'Revenue Build'!J9</f>
        <v>0</v>
      </c>
      <c r="K7" s="8">
        <f>'Revenue Build'!K9</f>
        <v>0</v>
      </c>
      <c r="L7" s="8" t="str">
        <f>'Revenue Build'!L9</f>
        <v/>
      </c>
      <c r="M7" s="8">
        <f>'Revenue Build'!M9</f>
        <v>0</v>
      </c>
      <c r="N7" s="8">
        <f>'Revenue Build'!N9</f>
        <v>0</v>
      </c>
      <c r="O7" s="8">
        <f>'Revenue Build'!O9</f>
        <v>0</v>
      </c>
      <c r="P7" s="8">
        <f>'Revenue Build'!P9</f>
        <v>0</v>
      </c>
      <c r="Q7" s="8" t="str">
        <f>'Revenue Build'!Q9</f>
        <v/>
      </c>
      <c r="R7" s="8" t="str">
        <f>'Revenue Build'!R9</f>
        <v/>
      </c>
    </row>
    <row r="8" spans="1:18" x14ac:dyDescent="0.2">
      <c r="A8" s="7" t="s">
        <v>64</v>
      </c>
      <c r="B8" s="8">
        <f>'Revenue Build'!B10</f>
        <v>0</v>
      </c>
      <c r="C8" s="8">
        <f>'Revenue Build'!C10</f>
        <v>0</v>
      </c>
      <c r="D8" s="8">
        <f>'Revenue Build'!D10</f>
        <v>0</v>
      </c>
      <c r="E8" s="8">
        <f>'Revenue Build'!E10</f>
        <v>0</v>
      </c>
      <c r="F8" s="8">
        <f>'Revenue Build'!F10</f>
        <v>0</v>
      </c>
      <c r="G8" s="8" t="str">
        <f>'Revenue Build'!G10</f>
        <v/>
      </c>
      <c r="H8" s="8">
        <f>'Revenue Build'!H10</f>
        <v>0</v>
      </c>
      <c r="I8" s="8">
        <f>'Revenue Build'!I10</f>
        <v>0</v>
      </c>
      <c r="J8" s="8">
        <f>'Revenue Build'!J10</f>
        <v>0</v>
      </c>
      <c r="K8" s="8">
        <f>'Revenue Build'!K10</f>
        <v>0</v>
      </c>
      <c r="L8" s="8" t="str">
        <f>'Revenue Build'!L10</f>
        <v/>
      </c>
      <c r="M8" s="8">
        <f>'Revenue Build'!M10</f>
        <v>0</v>
      </c>
      <c r="N8" s="8">
        <f>'Revenue Build'!N10</f>
        <v>0</v>
      </c>
      <c r="O8" s="8">
        <f>'Revenue Build'!O10</f>
        <v>0</v>
      </c>
      <c r="P8" s="8">
        <f>'Revenue Build'!P10</f>
        <v>0</v>
      </c>
      <c r="Q8" s="8" t="str">
        <f>'Revenue Build'!Q10</f>
        <v/>
      </c>
      <c r="R8" s="8" t="str">
        <f>'Revenue Build'!R10</f>
        <v/>
      </c>
    </row>
    <row r="9" spans="1:18" x14ac:dyDescent="0.2">
      <c r="A9" s="7" t="s">
        <v>65</v>
      </c>
      <c r="B9" s="8">
        <f>'Revenue Build'!B11</f>
        <v>0</v>
      </c>
      <c r="C9" s="8">
        <f>'Revenue Build'!C11</f>
        <v>0</v>
      </c>
      <c r="D9" s="8">
        <f>'Revenue Build'!D11</f>
        <v>0</v>
      </c>
      <c r="E9" s="8">
        <f>'Revenue Build'!E11</f>
        <v>0</v>
      </c>
      <c r="F9" s="8">
        <f>'Revenue Build'!F11</f>
        <v>0</v>
      </c>
      <c r="G9" s="8" t="str">
        <f>'Revenue Build'!G11</f>
        <v/>
      </c>
      <c r="H9" s="8">
        <f>'Revenue Build'!H11</f>
        <v>0</v>
      </c>
      <c r="I9" s="8">
        <f>'Revenue Build'!I11</f>
        <v>0</v>
      </c>
      <c r="J9" s="8">
        <f>'Revenue Build'!J11</f>
        <v>0</v>
      </c>
      <c r="K9" s="8">
        <f>'Revenue Build'!K11</f>
        <v>0</v>
      </c>
      <c r="L9" s="8" t="str">
        <f>'Revenue Build'!L11</f>
        <v/>
      </c>
      <c r="M9" s="8">
        <f>'Revenue Build'!M11</f>
        <v>0</v>
      </c>
      <c r="N9" s="8">
        <f>'Revenue Build'!N11</f>
        <v>0</v>
      </c>
      <c r="O9" s="8">
        <f>'Revenue Build'!O11</f>
        <v>0</v>
      </c>
      <c r="P9" s="8">
        <f>'Revenue Build'!P11</f>
        <v>0</v>
      </c>
      <c r="Q9" s="8" t="str">
        <f>'Revenue Build'!Q11</f>
        <v/>
      </c>
      <c r="R9" s="8" t="str">
        <f>'Revenue Build'!R11</f>
        <v/>
      </c>
    </row>
    <row r="10" spans="1:18" x14ac:dyDescent="0.2">
      <c r="A10" s="9" t="s">
        <v>66</v>
      </c>
      <c r="B10" s="10">
        <f t="shared" ref="B10:R10" si="0">IF(COUNT(B6:B9)=0,"",SUM(B6:B9))</f>
        <v>5380</v>
      </c>
      <c r="C10" s="10">
        <f t="shared" si="0"/>
        <v>5775</v>
      </c>
      <c r="D10" s="10">
        <f t="shared" si="0"/>
        <v>6718</v>
      </c>
      <c r="E10" s="10">
        <f t="shared" si="0"/>
        <v>0</v>
      </c>
      <c r="F10" s="10">
        <f t="shared" si="0"/>
        <v>0</v>
      </c>
      <c r="G10" s="10" t="str">
        <f t="shared" si="0"/>
        <v/>
      </c>
      <c r="H10" s="10">
        <f t="shared" si="0"/>
        <v>0</v>
      </c>
      <c r="I10" s="10">
        <f t="shared" si="0"/>
        <v>0</v>
      </c>
      <c r="J10" s="10">
        <f t="shared" si="0"/>
        <v>0</v>
      </c>
      <c r="K10" s="10">
        <f t="shared" si="0"/>
        <v>0</v>
      </c>
      <c r="L10" s="10" t="str">
        <f t="shared" si="0"/>
        <v/>
      </c>
      <c r="M10" s="10">
        <f t="shared" si="0"/>
        <v>0</v>
      </c>
      <c r="N10" s="10">
        <f t="shared" si="0"/>
        <v>0</v>
      </c>
      <c r="O10" s="10">
        <f t="shared" si="0"/>
        <v>0</v>
      </c>
      <c r="P10" s="10">
        <f t="shared" si="0"/>
        <v>0</v>
      </c>
      <c r="Q10" s="10" t="str">
        <f t="shared" si="0"/>
        <v/>
      </c>
      <c r="R10" s="10" t="str">
        <f t="shared" si="0"/>
        <v/>
      </c>
    </row>
    <row r="13" spans="1:18" ht="17" customHeight="1" x14ac:dyDescent="0.2">
      <c r="A13" s="3" t="s">
        <v>67</v>
      </c>
      <c r="B13" s="4"/>
      <c r="C13" s="4"/>
      <c r="D13" s="4"/>
      <c r="E13" s="4"/>
      <c r="F13" s="4"/>
      <c r="G13" s="4"/>
      <c r="H13" s="4"/>
      <c r="I13" s="4"/>
      <c r="J13" s="4"/>
      <c r="K13" s="4"/>
      <c r="L13" s="4"/>
      <c r="M13" s="4"/>
      <c r="N13" s="4"/>
      <c r="O13" s="4"/>
      <c r="P13" s="4"/>
      <c r="Q13" s="4"/>
      <c r="R13" s="4"/>
    </row>
    <row r="14" spans="1:18" ht="15" customHeight="1" x14ac:dyDescent="0.2">
      <c r="A14" s="5" t="s">
        <v>61</v>
      </c>
      <c r="B14" s="6" t="str">
        <f>Assumptions!B$8</f>
        <v>Q4'25A</v>
      </c>
      <c r="C14" s="6" t="str">
        <f>Assumptions!C$8</f>
        <v>Q1'26A</v>
      </c>
      <c r="D14" s="6" t="str">
        <f>Assumptions!D$8</f>
        <v>Q2'26A</v>
      </c>
      <c r="E14" s="6" t="str">
        <f>Assumptions!E$8</f>
        <v>Q3'26E</v>
      </c>
      <c r="F14" s="6" t="str">
        <f>Assumptions!F$8</f>
        <v>Q4'26E</v>
      </c>
      <c r="G14" s="6" t="str">
        <f>Assumptions!G$8</f>
        <v>FY26E</v>
      </c>
      <c r="H14" s="6" t="str">
        <f>Assumptions!H$8</f>
        <v>Q1'27E</v>
      </c>
      <c r="I14" s="6" t="str">
        <f>Assumptions!I$8</f>
        <v>Q2'27E</v>
      </c>
      <c r="J14" s="6" t="str">
        <f>Assumptions!J$8</f>
        <v>Q3'27E</v>
      </c>
      <c r="K14" s="6" t="str">
        <f>Assumptions!K$8</f>
        <v>Q4'27E</v>
      </c>
      <c r="L14" s="6" t="str">
        <f>Assumptions!L$8</f>
        <v>FY27E</v>
      </c>
      <c r="M14" s="6" t="str">
        <f>Assumptions!M$8</f>
        <v>Q1'28E</v>
      </c>
      <c r="N14" s="6" t="str">
        <f>Assumptions!N$8</f>
        <v>Q2'28E</v>
      </c>
      <c r="O14" s="6" t="str">
        <f>Assumptions!O$8</f>
        <v>Q3'28E</v>
      </c>
      <c r="P14" s="6" t="str">
        <f>Assumptions!P$8</f>
        <v>Q4'28E</v>
      </c>
      <c r="Q14" s="6" t="str">
        <f>Assumptions!Q$8</f>
        <v>FY28E</v>
      </c>
      <c r="R14" s="6" t="str">
        <f>Assumptions!R$8</f>
        <v>NTM E</v>
      </c>
    </row>
    <row r="15" spans="1:18" x14ac:dyDescent="0.2">
      <c r="A15" s="7" t="s">
        <v>62</v>
      </c>
      <c r="B15" s="11"/>
      <c r="C15" s="11"/>
      <c r="D15" s="11"/>
      <c r="E15" s="11"/>
      <c r="F15" s="11"/>
      <c r="G15" s="11"/>
      <c r="H15" s="11"/>
      <c r="I15" s="11"/>
      <c r="J15" s="11"/>
      <c r="K15" s="11"/>
      <c r="L15" s="11"/>
      <c r="M15" s="11"/>
      <c r="N15" s="11"/>
      <c r="O15" s="11"/>
      <c r="P15" s="11"/>
      <c r="Q15" s="11"/>
      <c r="R15" s="11"/>
    </row>
    <row r="16" spans="1:18" x14ac:dyDescent="0.2">
      <c r="A16" s="7" t="s">
        <v>63</v>
      </c>
      <c r="B16" s="11"/>
      <c r="C16" s="11"/>
      <c r="D16" s="11"/>
      <c r="E16" s="11"/>
      <c r="F16" s="11"/>
      <c r="G16" s="11"/>
      <c r="H16" s="11"/>
      <c r="I16" s="11"/>
      <c r="J16" s="11"/>
      <c r="K16" s="11"/>
      <c r="L16" s="11"/>
      <c r="M16" s="11"/>
      <c r="N16" s="11"/>
      <c r="O16" s="11"/>
      <c r="P16" s="11"/>
      <c r="Q16" s="11"/>
      <c r="R16" s="11"/>
    </row>
    <row r="17" spans="1:18" x14ac:dyDescent="0.2">
      <c r="A17" s="7" t="s">
        <v>64</v>
      </c>
      <c r="B17" s="11"/>
      <c r="C17" s="11"/>
      <c r="D17" s="11"/>
      <c r="E17" s="11"/>
      <c r="F17" s="11"/>
      <c r="G17" s="11"/>
      <c r="H17" s="11"/>
      <c r="I17" s="11"/>
      <c r="J17" s="11"/>
      <c r="K17" s="11"/>
      <c r="L17" s="11"/>
      <c r="M17" s="11"/>
      <c r="N17" s="11"/>
      <c r="O17" s="11"/>
      <c r="P17" s="11"/>
      <c r="Q17" s="11"/>
      <c r="R17" s="11"/>
    </row>
    <row r="18" spans="1:18" x14ac:dyDescent="0.2">
      <c r="A18" s="7" t="s">
        <v>65</v>
      </c>
      <c r="B18" s="11"/>
      <c r="C18" s="11"/>
      <c r="D18" s="11"/>
      <c r="E18" s="11"/>
      <c r="F18" s="11"/>
      <c r="G18" s="11"/>
      <c r="H18" s="11"/>
      <c r="I18" s="11"/>
      <c r="J18" s="11"/>
      <c r="K18" s="11"/>
      <c r="L18" s="11"/>
      <c r="M18" s="11"/>
      <c r="N18" s="11"/>
      <c r="O18" s="11"/>
      <c r="P18" s="11"/>
      <c r="Q18" s="11"/>
      <c r="R18" s="11"/>
    </row>
    <row r="19" spans="1:18" x14ac:dyDescent="0.2">
      <c r="A19" s="9" t="s">
        <v>66</v>
      </c>
      <c r="B19" s="10" t="str">
        <f t="shared" ref="B19:R19" si="1">IF(COUNT(B15:B18)=0,"",SUM(B15:B18))</f>
        <v/>
      </c>
      <c r="C19" s="10" t="str">
        <f t="shared" si="1"/>
        <v/>
      </c>
      <c r="D19" s="10" t="str">
        <f t="shared" si="1"/>
        <v/>
      </c>
      <c r="E19" s="10" t="str">
        <f t="shared" si="1"/>
        <v/>
      </c>
      <c r="F19" s="10" t="str">
        <f t="shared" si="1"/>
        <v/>
      </c>
      <c r="G19" s="10" t="str">
        <f t="shared" si="1"/>
        <v/>
      </c>
      <c r="H19" s="10" t="str">
        <f t="shared" si="1"/>
        <v/>
      </c>
      <c r="I19" s="10" t="str">
        <f t="shared" si="1"/>
        <v/>
      </c>
      <c r="J19" s="10" t="str">
        <f t="shared" si="1"/>
        <v/>
      </c>
      <c r="K19" s="10" t="str">
        <f t="shared" si="1"/>
        <v/>
      </c>
      <c r="L19" s="10" t="str">
        <f t="shared" si="1"/>
        <v/>
      </c>
      <c r="M19" s="10" t="str">
        <f t="shared" si="1"/>
        <v/>
      </c>
      <c r="N19" s="10" t="str">
        <f t="shared" si="1"/>
        <v/>
      </c>
      <c r="O19" s="10" t="str">
        <f t="shared" si="1"/>
        <v/>
      </c>
      <c r="P19" s="10" t="str">
        <f t="shared" si="1"/>
        <v/>
      </c>
      <c r="Q19" s="10" t="str">
        <f t="shared" si="1"/>
        <v/>
      </c>
      <c r="R19" s="10" t="str">
        <f t="shared" si="1"/>
        <v/>
      </c>
    </row>
    <row r="22" spans="1:18" ht="17" customHeight="1" x14ac:dyDescent="0.2">
      <c r="A22" s="3" t="s">
        <v>68</v>
      </c>
      <c r="B22" s="4"/>
      <c r="C22" s="4"/>
      <c r="D22" s="4"/>
      <c r="E22" s="4"/>
      <c r="F22" s="4"/>
      <c r="G22" s="4"/>
      <c r="H22" s="4"/>
      <c r="I22" s="4"/>
      <c r="J22" s="4"/>
      <c r="K22" s="4"/>
      <c r="L22" s="4"/>
      <c r="M22" s="4"/>
      <c r="N22" s="4"/>
      <c r="O22" s="4"/>
      <c r="P22" s="4"/>
      <c r="Q22" s="4"/>
      <c r="R22" s="4"/>
    </row>
    <row r="23" spans="1:18" ht="15" customHeight="1" x14ac:dyDescent="0.2">
      <c r="A23" s="5" t="s">
        <v>61</v>
      </c>
      <c r="B23" s="6" t="str">
        <f>Assumptions!B$8</f>
        <v>Q4'25A</v>
      </c>
      <c r="C23" s="6" t="str">
        <f>Assumptions!C$8</f>
        <v>Q1'26A</v>
      </c>
      <c r="D23" s="6" t="str">
        <f>Assumptions!D$8</f>
        <v>Q2'26A</v>
      </c>
      <c r="E23" s="6" t="str">
        <f>Assumptions!E$8</f>
        <v>Q3'26E</v>
      </c>
      <c r="F23" s="6" t="str">
        <f>Assumptions!F$8</f>
        <v>Q4'26E</v>
      </c>
      <c r="G23" s="6" t="str">
        <f>Assumptions!G$8</f>
        <v>FY26E</v>
      </c>
      <c r="H23" s="6" t="str">
        <f>Assumptions!H$8</f>
        <v>Q1'27E</v>
      </c>
      <c r="I23" s="6" t="str">
        <f>Assumptions!I$8</f>
        <v>Q2'27E</v>
      </c>
      <c r="J23" s="6" t="str">
        <f>Assumptions!J$8</f>
        <v>Q3'27E</v>
      </c>
      <c r="K23" s="6" t="str">
        <f>Assumptions!K$8</f>
        <v>Q4'27E</v>
      </c>
      <c r="L23" s="6" t="str">
        <f>Assumptions!L$8</f>
        <v>FY27E</v>
      </c>
      <c r="M23" s="6" t="str">
        <f>Assumptions!M$8</f>
        <v>Q1'28E</v>
      </c>
      <c r="N23" s="6" t="str">
        <f>Assumptions!N$8</f>
        <v>Q2'28E</v>
      </c>
      <c r="O23" s="6" t="str">
        <f>Assumptions!O$8</f>
        <v>Q3'28E</v>
      </c>
      <c r="P23" s="6" t="str">
        <f>Assumptions!P$8</f>
        <v>Q4'28E</v>
      </c>
      <c r="Q23" s="6" t="str">
        <f>Assumptions!Q$8</f>
        <v>FY28E</v>
      </c>
      <c r="R23" s="6" t="str">
        <f>Assumptions!R$8</f>
        <v>NTM E</v>
      </c>
    </row>
    <row r="24" spans="1:18" x14ac:dyDescent="0.2">
      <c r="A24" s="7" t="s">
        <v>62</v>
      </c>
      <c r="B24" s="11"/>
      <c r="C24" s="11"/>
      <c r="D24" s="11"/>
      <c r="E24" s="11"/>
      <c r="F24" s="11"/>
      <c r="G24" s="11"/>
      <c r="H24" s="11"/>
      <c r="I24" s="11"/>
      <c r="J24" s="11"/>
      <c r="K24" s="11"/>
      <c r="L24" s="11"/>
      <c r="M24" s="11"/>
      <c r="N24" s="11"/>
      <c r="O24" s="11"/>
      <c r="P24" s="11"/>
      <c r="Q24" s="11"/>
      <c r="R24" s="11"/>
    </row>
    <row r="25" spans="1:18" x14ac:dyDescent="0.2">
      <c r="A25" s="7" t="s">
        <v>63</v>
      </c>
      <c r="B25" s="11"/>
      <c r="C25" s="11"/>
      <c r="D25" s="11"/>
      <c r="E25" s="11"/>
      <c r="F25" s="11"/>
      <c r="G25" s="11"/>
      <c r="H25" s="11"/>
      <c r="I25" s="11"/>
      <c r="J25" s="11"/>
      <c r="K25" s="11"/>
      <c r="L25" s="11"/>
      <c r="M25" s="11"/>
      <c r="N25" s="11"/>
      <c r="O25" s="11"/>
      <c r="P25" s="11"/>
      <c r="Q25" s="11"/>
      <c r="R25" s="11"/>
    </row>
    <row r="26" spans="1:18" x14ac:dyDescent="0.2">
      <c r="A26" s="7" t="s">
        <v>64</v>
      </c>
      <c r="B26" s="11"/>
      <c r="C26" s="11"/>
      <c r="D26" s="11"/>
      <c r="E26" s="11"/>
      <c r="F26" s="11"/>
      <c r="G26" s="11"/>
      <c r="H26" s="11"/>
      <c r="I26" s="11"/>
      <c r="J26" s="11"/>
      <c r="K26" s="11"/>
      <c r="L26" s="11"/>
      <c r="M26" s="11"/>
      <c r="N26" s="11"/>
      <c r="O26" s="11"/>
      <c r="P26" s="11"/>
      <c r="Q26" s="11"/>
      <c r="R26" s="11"/>
    </row>
    <row r="27" spans="1:18" x14ac:dyDescent="0.2">
      <c r="A27" s="7" t="s">
        <v>65</v>
      </c>
      <c r="B27" s="11"/>
      <c r="C27" s="11"/>
      <c r="D27" s="11"/>
      <c r="E27" s="11"/>
      <c r="F27" s="11"/>
      <c r="G27" s="11"/>
      <c r="H27" s="11"/>
      <c r="I27" s="11"/>
      <c r="J27" s="11"/>
      <c r="K27" s="11"/>
      <c r="L27" s="11"/>
      <c r="M27" s="11"/>
      <c r="N27" s="11"/>
      <c r="O27" s="11"/>
      <c r="P27" s="11"/>
      <c r="Q27" s="11"/>
      <c r="R27" s="11"/>
    </row>
    <row r="28" spans="1:18" x14ac:dyDescent="0.2">
      <c r="A28" s="9" t="s">
        <v>66</v>
      </c>
      <c r="B28" s="10" t="str">
        <f t="shared" ref="B28:R28" si="2">IF(COUNT(B24:B27)=0,"",SUM(B24:B27))</f>
        <v/>
      </c>
      <c r="C28" s="10" t="str">
        <f t="shared" si="2"/>
        <v/>
      </c>
      <c r="D28" s="10" t="str">
        <f t="shared" si="2"/>
        <v/>
      </c>
      <c r="E28" s="10" t="str">
        <f t="shared" si="2"/>
        <v/>
      </c>
      <c r="F28" s="10" t="str">
        <f t="shared" si="2"/>
        <v/>
      </c>
      <c r="G28" s="10" t="str">
        <f t="shared" si="2"/>
        <v/>
      </c>
      <c r="H28" s="10" t="str">
        <f t="shared" si="2"/>
        <v/>
      </c>
      <c r="I28" s="10" t="str">
        <f t="shared" si="2"/>
        <v/>
      </c>
      <c r="J28" s="10" t="str">
        <f t="shared" si="2"/>
        <v/>
      </c>
      <c r="K28" s="10" t="str">
        <f t="shared" si="2"/>
        <v/>
      </c>
      <c r="L28" s="10" t="str">
        <f t="shared" si="2"/>
        <v/>
      </c>
      <c r="M28" s="10" t="str">
        <f t="shared" si="2"/>
        <v/>
      </c>
      <c r="N28" s="10" t="str">
        <f t="shared" si="2"/>
        <v/>
      </c>
      <c r="O28" s="10" t="str">
        <f t="shared" si="2"/>
        <v/>
      </c>
      <c r="P28" s="10" t="str">
        <f t="shared" si="2"/>
        <v/>
      </c>
      <c r="Q28" s="10" t="str">
        <f t="shared" si="2"/>
        <v/>
      </c>
      <c r="R28" s="10" t="str">
        <f t="shared" si="2"/>
        <v/>
      </c>
    </row>
    <row r="31" spans="1:18" ht="17" customHeight="1" x14ac:dyDescent="0.2">
      <c r="A31" s="3" t="s">
        <v>69</v>
      </c>
      <c r="B31" s="4"/>
      <c r="C31" s="4"/>
      <c r="D31" s="4"/>
      <c r="E31" s="4"/>
      <c r="F31" s="4"/>
      <c r="G31" s="4"/>
      <c r="H31" s="4"/>
      <c r="I31" s="4"/>
      <c r="J31" s="4"/>
      <c r="K31" s="4"/>
      <c r="L31" s="4"/>
      <c r="M31" s="4"/>
      <c r="N31" s="4"/>
      <c r="O31" s="4"/>
      <c r="P31" s="4"/>
      <c r="Q31" s="4"/>
      <c r="R31" s="4"/>
    </row>
    <row r="32" spans="1:18" ht="15" customHeight="1" x14ac:dyDescent="0.2">
      <c r="A32" s="5" t="s">
        <v>61</v>
      </c>
      <c r="B32" s="6" t="str">
        <f>Assumptions!B$8</f>
        <v>Q4'25A</v>
      </c>
      <c r="C32" s="6" t="str">
        <f>Assumptions!C$8</f>
        <v>Q1'26A</v>
      </c>
      <c r="D32" s="6" t="str">
        <f>Assumptions!D$8</f>
        <v>Q2'26A</v>
      </c>
      <c r="E32" s="6" t="str">
        <f>Assumptions!E$8</f>
        <v>Q3'26E</v>
      </c>
      <c r="F32" s="6" t="str">
        <f>Assumptions!F$8</f>
        <v>Q4'26E</v>
      </c>
      <c r="G32" s="6" t="str">
        <f>Assumptions!G$8</f>
        <v>FY26E</v>
      </c>
      <c r="H32" s="6" t="str">
        <f>Assumptions!H$8</f>
        <v>Q1'27E</v>
      </c>
      <c r="I32" s="6" t="str">
        <f>Assumptions!I$8</f>
        <v>Q2'27E</v>
      </c>
      <c r="J32" s="6" t="str">
        <f>Assumptions!J$8</f>
        <v>Q3'27E</v>
      </c>
      <c r="K32" s="6" t="str">
        <f>Assumptions!K$8</f>
        <v>Q4'27E</v>
      </c>
      <c r="L32" s="6" t="str">
        <f>Assumptions!L$8</f>
        <v>FY27E</v>
      </c>
      <c r="M32" s="6" t="str">
        <f>Assumptions!M$8</f>
        <v>Q1'28E</v>
      </c>
      <c r="N32" s="6" t="str">
        <f>Assumptions!N$8</f>
        <v>Q2'28E</v>
      </c>
      <c r="O32" s="6" t="str">
        <f>Assumptions!O$8</f>
        <v>Q3'28E</v>
      </c>
      <c r="P32" s="6" t="str">
        <f>Assumptions!P$8</f>
        <v>Q4'28E</v>
      </c>
      <c r="Q32" s="6" t="str">
        <f>Assumptions!Q$8</f>
        <v>FY28E</v>
      </c>
      <c r="R32" s="6" t="str">
        <f>Assumptions!R$8</f>
        <v>NTM E</v>
      </c>
    </row>
    <row r="33" spans="1:18" x14ac:dyDescent="0.2">
      <c r="A33" s="7" t="s">
        <v>62</v>
      </c>
      <c r="B33" s="11"/>
      <c r="C33" s="11"/>
      <c r="D33" s="11"/>
      <c r="E33" s="11"/>
      <c r="F33" s="11"/>
      <c r="G33" s="11"/>
      <c r="H33" s="11"/>
      <c r="I33" s="11"/>
      <c r="J33" s="11"/>
      <c r="K33" s="11"/>
      <c r="L33" s="11"/>
      <c r="M33" s="11"/>
      <c r="N33" s="11"/>
      <c r="O33" s="11"/>
      <c r="P33" s="11"/>
      <c r="Q33" s="11"/>
      <c r="R33" s="11"/>
    </row>
    <row r="34" spans="1:18" x14ac:dyDescent="0.2">
      <c r="A34" s="7" t="s">
        <v>63</v>
      </c>
      <c r="B34" s="11"/>
      <c r="C34" s="11"/>
      <c r="D34" s="11"/>
      <c r="E34" s="11"/>
      <c r="F34" s="11"/>
      <c r="G34" s="11"/>
      <c r="H34" s="11"/>
      <c r="I34" s="11"/>
      <c r="J34" s="11"/>
      <c r="K34" s="11"/>
      <c r="L34" s="11"/>
      <c r="M34" s="11"/>
      <c r="N34" s="11"/>
      <c r="O34" s="11"/>
      <c r="P34" s="11"/>
      <c r="Q34" s="11"/>
      <c r="R34" s="11"/>
    </row>
    <row r="35" spans="1:18" x14ac:dyDescent="0.2">
      <c r="A35" s="7" t="s">
        <v>64</v>
      </c>
      <c r="B35" s="11"/>
      <c r="C35" s="11"/>
      <c r="D35" s="11"/>
      <c r="E35" s="11"/>
      <c r="F35" s="11"/>
      <c r="G35" s="11"/>
      <c r="H35" s="11"/>
      <c r="I35" s="11"/>
      <c r="J35" s="11"/>
      <c r="K35" s="11"/>
      <c r="L35" s="11"/>
      <c r="M35" s="11"/>
      <c r="N35" s="11"/>
      <c r="O35" s="11"/>
      <c r="P35" s="11"/>
      <c r="Q35" s="11"/>
      <c r="R35" s="11"/>
    </row>
    <row r="36" spans="1:18" x14ac:dyDescent="0.2">
      <c r="A36" s="7" t="s">
        <v>65</v>
      </c>
      <c r="B36" s="11"/>
      <c r="C36" s="11"/>
      <c r="D36" s="11"/>
      <c r="E36" s="11"/>
      <c r="F36" s="11"/>
      <c r="G36" s="11"/>
      <c r="H36" s="11"/>
      <c r="I36" s="11"/>
      <c r="J36" s="11"/>
      <c r="K36" s="11"/>
      <c r="L36" s="11"/>
      <c r="M36" s="11"/>
      <c r="N36" s="11"/>
      <c r="O36" s="11"/>
      <c r="P36" s="11"/>
      <c r="Q36" s="11"/>
      <c r="R36" s="11"/>
    </row>
    <row r="37" spans="1:18" x14ac:dyDescent="0.2">
      <c r="A37" s="9" t="s">
        <v>66</v>
      </c>
      <c r="B37" s="10" t="str">
        <f t="shared" ref="B37:R37" si="3">IF(COUNT(B33:B36)=0,"",SUM(B33:B36))</f>
        <v/>
      </c>
      <c r="C37" s="10" t="str">
        <f t="shared" si="3"/>
        <v/>
      </c>
      <c r="D37" s="10" t="str">
        <f t="shared" si="3"/>
        <v/>
      </c>
      <c r="E37" s="10" t="str">
        <f t="shared" si="3"/>
        <v/>
      </c>
      <c r="F37" s="10" t="str">
        <f t="shared" si="3"/>
        <v/>
      </c>
      <c r="G37" s="10" t="str">
        <f t="shared" si="3"/>
        <v/>
      </c>
      <c r="H37" s="10" t="str">
        <f t="shared" si="3"/>
        <v/>
      </c>
      <c r="I37" s="10" t="str">
        <f t="shared" si="3"/>
        <v/>
      </c>
      <c r="J37" s="10" t="str">
        <f t="shared" si="3"/>
        <v/>
      </c>
      <c r="K37" s="10" t="str">
        <f t="shared" si="3"/>
        <v/>
      </c>
      <c r="L37" s="10" t="str">
        <f t="shared" si="3"/>
        <v/>
      </c>
      <c r="M37" s="10" t="str">
        <f t="shared" si="3"/>
        <v/>
      </c>
      <c r="N37" s="10" t="str">
        <f t="shared" si="3"/>
        <v/>
      </c>
      <c r="O37" s="10" t="str">
        <f t="shared" si="3"/>
        <v/>
      </c>
      <c r="P37" s="10" t="str">
        <f t="shared" si="3"/>
        <v/>
      </c>
      <c r="Q37" s="10" t="str">
        <f t="shared" si="3"/>
        <v/>
      </c>
      <c r="R37" s="10" t="str">
        <f t="shared" si="3"/>
        <v/>
      </c>
    </row>
    <row r="41" spans="1:18" ht="17" customHeight="1" x14ac:dyDescent="0.2">
      <c r="A41" s="3" t="s">
        <v>70</v>
      </c>
      <c r="B41" s="4"/>
      <c r="C41" s="4"/>
      <c r="D41" s="4"/>
      <c r="E41" s="4"/>
      <c r="F41" s="4"/>
      <c r="G41" s="4"/>
      <c r="H41" s="4"/>
      <c r="I41" s="4"/>
      <c r="J41" s="4"/>
      <c r="K41" s="4"/>
      <c r="L41" s="4"/>
      <c r="M41" s="4"/>
      <c r="N41" s="4"/>
      <c r="O41" s="4"/>
      <c r="P41" s="4"/>
      <c r="Q41" s="4"/>
      <c r="R41" s="4"/>
    </row>
    <row r="42" spans="1:18" x14ac:dyDescent="0.2">
      <c r="A42" s="9" t="s">
        <v>71</v>
      </c>
      <c r="B42" s="42" t="s">
        <v>72</v>
      </c>
      <c r="C42" s="43"/>
      <c r="D42" s="43"/>
      <c r="E42" s="43"/>
      <c r="F42" s="43"/>
      <c r="G42" s="43"/>
      <c r="H42" s="43"/>
      <c r="I42" s="43"/>
      <c r="J42" s="43"/>
      <c r="K42" s="43"/>
      <c r="L42" s="43"/>
      <c r="M42" s="43"/>
      <c r="N42" s="43"/>
      <c r="O42" s="43"/>
      <c r="P42" s="43"/>
      <c r="Q42" s="43"/>
      <c r="R42" s="43"/>
    </row>
    <row r="43" spans="1:18" x14ac:dyDescent="0.2">
      <c r="A43" s="9" t="s">
        <v>73</v>
      </c>
      <c r="B43" s="42" t="s">
        <v>74</v>
      </c>
      <c r="C43" s="43"/>
      <c r="D43" s="43"/>
      <c r="E43" s="43"/>
      <c r="F43" s="43"/>
      <c r="G43" s="43"/>
      <c r="H43" s="43"/>
      <c r="I43" s="43"/>
      <c r="J43" s="43"/>
      <c r="K43" s="43"/>
      <c r="L43" s="43"/>
      <c r="M43" s="43"/>
      <c r="N43" s="43"/>
      <c r="O43" s="43"/>
      <c r="P43" s="43"/>
      <c r="Q43" s="43"/>
      <c r="R43" s="43"/>
    </row>
    <row r="44" spans="1:18" x14ac:dyDescent="0.2">
      <c r="A44" s="9" t="s">
        <v>75</v>
      </c>
      <c r="B44" s="42" t="s">
        <v>76</v>
      </c>
      <c r="C44" s="43"/>
      <c r="D44" s="43"/>
      <c r="E44" s="43"/>
      <c r="F44" s="43"/>
      <c r="G44" s="43"/>
      <c r="H44" s="43"/>
      <c r="I44" s="43"/>
      <c r="J44" s="43"/>
      <c r="K44" s="43"/>
      <c r="L44" s="43"/>
      <c r="M44" s="43"/>
      <c r="N44" s="43"/>
      <c r="O44" s="43"/>
      <c r="P44" s="43"/>
      <c r="Q44" s="43"/>
      <c r="R44" s="43"/>
    </row>
    <row r="45" spans="1:18" x14ac:dyDescent="0.2">
      <c r="A45" s="9" t="s">
        <v>77</v>
      </c>
      <c r="B45" s="42" t="s">
        <v>78</v>
      </c>
      <c r="C45" s="43"/>
      <c r="D45" s="43"/>
      <c r="E45" s="43"/>
      <c r="F45" s="43"/>
      <c r="G45" s="43"/>
      <c r="H45" s="43"/>
      <c r="I45" s="43"/>
      <c r="J45" s="43"/>
      <c r="K45" s="43"/>
      <c r="L45" s="43"/>
      <c r="M45" s="43"/>
      <c r="N45" s="43"/>
      <c r="O45" s="43"/>
      <c r="P45" s="43"/>
      <c r="Q45" s="43"/>
      <c r="R45" s="43"/>
    </row>
    <row r="46" spans="1:18" x14ac:dyDescent="0.2">
      <c r="A46" s="9" t="s">
        <v>79</v>
      </c>
      <c r="B46" s="42" t="s">
        <v>80</v>
      </c>
      <c r="C46" s="43"/>
      <c r="D46" s="43"/>
      <c r="E46" s="43"/>
      <c r="F46" s="43"/>
      <c r="G46" s="43"/>
      <c r="H46" s="43"/>
      <c r="I46" s="43"/>
      <c r="J46" s="43"/>
      <c r="K46" s="43"/>
      <c r="L46" s="43"/>
      <c r="M46" s="43"/>
      <c r="N46" s="43"/>
      <c r="O46" s="43"/>
      <c r="P46" s="43"/>
      <c r="Q46" s="43"/>
      <c r="R46" s="43"/>
    </row>
    <row r="47" spans="1:18" x14ac:dyDescent="0.2">
      <c r="A47" s="9" t="s">
        <v>81</v>
      </c>
      <c r="B47" s="45" t="str">
        <f>'Data Center'!B42</f>
        <v>OK</v>
      </c>
      <c r="C47" s="43"/>
      <c r="D47" s="43"/>
      <c r="E47" s="43"/>
      <c r="F47" s="43"/>
      <c r="G47" s="43"/>
      <c r="H47" s="43"/>
      <c r="I47" s="43"/>
      <c r="J47" s="43"/>
      <c r="K47" s="43"/>
      <c r="L47" s="43"/>
      <c r="M47" s="43"/>
      <c r="N47" s="43"/>
      <c r="O47" s="43"/>
      <c r="P47" s="43"/>
      <c r="Q47" s="43"/>
      <c r="R47" s="43"/>
    </row>
    <row r="48" spans="1:18" x14ac:dyDescent="0.2">
      <c r="A48" s="9" t="s">
        <v>82</v>
      </c>
      <c r="B48" s="42" t="s">
        <v>83</v>
      </c>
      <c r="C48" s="43"/>
      <c r="D48" s="43"/>
      <c r="E48" s="43"/>
      <c r="F48" s="43"/>
      <c r="G48" s="43"/>
      <c r="H48" s="43"/>
      <c r="I48" s="43"/>
      <c r="J48" s="43"/>
      <c r="K48" s="43"/>
      <c r="L48" s="43"/>
      <c r="M48" s="43"/>
      <c r="N48" s="43"/>
      <c r="O48" s="43"/>
      <c r="P48" s="43"/>
      <c r="Q48" s="43"/>
      <c r="R48" s="43"/>
    </row>
    <row r="50" spans="1:10" x14ac:dyDescent="0.2">
      <c r="A50" s="13" t="s">
        <v>53</v>
      </c>
      <c r="D50" s="7" t="s">
        <v>54</v>
      </c>
      <c r="G50" s="14" t="s">
        <v>55</v>
      </c>
      <c r="J50" s="15" t="s">
        <v>56</v>
      </c>
    </row>
  </sheetData>
  <mergeCells count="7">
    <mergeCell ref="B44:R44"/>
    <mergeCell ref="B43:R43"/>
    <mergeCell ref="B47:R47"/>
    <mergeCell ref="B48:R48"/>
    <mergeCell ref="B42:R42"/>
    <mergeCell ref="B45:R45"/>
    <mergeCell ref="B46:R4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4"/>
  <sheetViews>
    <sheetView showGridLines="0" workbookViewId="0">
      <pane xSplit="1" ySplit="7" topLeftCell="B8" activePane="bottomRight" state="frozen"/>
      <selection pane="topRight"/>
      <selection pane="bottomLeft"/>
      <selection pane="bottomRight"/>
    </sheetView>
  </sheetViews>
  <sheetFormatPr baseColWidth="10" defaultColWidth="8.83203125" defaultRowHeight="15" x14ac:dyDescent="0.2"/>
  <cols>
    <col min="1" max="1" width="40" customWidth="1"/>
    <col min="2" max="6" width="11" customWidth="1"/>
    <col min="7" max="7" width="12.5" customWidth="1"/>
    <col min="8" max="11" width="11" customWidth="1"/>
    <col min="12" max="12" width="12.5" customWidth="1"/>
    <col min="13" max="16" width="11" customWidth="1"/>
    <col min="17" max="18" width="12.5" customWidth="1"/>
  </cols>
  <sheetData>
    <row r="1" spans="1:18" ht="19" x14ac:dyDescent="0.25">
      <c r="A1" s="1" t="s">
        <v>84</v>
      </c>
    </row>
    <row r="2" spans="1:18" x14ac:dyDescent="0.2">
      <c r="A2" s="2" t="s">
        <v>85</v>
      </c>
    </row>
    <row r="4" spans="1:18" x14ac:dyDescent="0.2">
      <c r="A4" s="9" t="s">
        <v>3</v>
      </c>
      <c r="B4" s="16" t="str">
        <f>Assumptions!$B$5</f>
        <v>Base</v>
      </c>
    </row>
    <row r="6" spans="1:18" ht="17" customHeight="1" x14ac:dyDescent="0.2">
      <c r="A6" s="3" t="s">
        <v>86</v>
      </c>
      <c r="B6" s="4"/>
      <c r="C6" s="4"/>
      <c r="D6" s="4"/>
      <c r="E6" s="4"/>
      <c r="F6" s="4"/>
      <c r="G6" s="4"/>
      <c r="H6" s="4"/>
      <c r="I6" s="4"/>
      <c r="J6" s="4"/>
      <c r="K6" s="4"/>
      <c r="L6" s="4"/>
      <c r="M6" s="4"/>
      <c r="N6" s="4"/>
      <c r="O6" s="4"/>
      <c r="P6" s="4"/>
      <c r="Q6" s="4"/>
      <c r="R6" s="4"/>
    </row>
    <row r="7" spans="1:18" ht="15" customHeight="1" x14ac:dyDescent="0.2">
      <c r="A7" s="5" t="s">
        <v>61</v>
      </c>
      <c r="B7" s="6" t="str">
        <f>Assumptions!B$8</f>
        <v>Q4'25A</v>
      </c>
      <c r="C7" s="6" t="str">
        <f>Assumptions!C$8</f>
        <v>Q1'26A</v>
      </c>
      <c r="D7" s="6" t="str">
        <f>Assumptions!D$8</f>
        <v>Q2'26A</v>
      </c>
      <c r="E7" s="6" t="str">
        <f>Assumptions!E$8</f>
        <v>Q3'26E</v>
      </c>
      <c r="F7" s="6" t="str">
        <f>Assumptions!F$8</f>
        <v>Q4'26E</v>
      </c>
      <c r="G7" s="6" t="str">
        <f>Assumptions!G$8</f>
        <v>FY26E</v>
      </c>
      <c r="H7" s="6" t="str">
        <f>Assumptions!H$8</f>
        <v>Q1'27E</v>
      </c>
      <c r="I7" s="6" t="str">
        <f>Assumptions!I$8</f>
        <v>Q2'27E</v>
      </c>
      <c r="J7" s="6" t="str">
        <f>Assumptions!J$8</f>
        <v>Q3'27E</v>
      </c>
      <c r="K7" s="6" t="str">
        <f>Assumptions!K$8</f>
        <v>Q4'27E</v>
      </c>
      <c r="L7" s="6" t="str">
        <f>Assumptions!L$8</f>
        <v>FY27E</v>
      </c>
      <c r="M7" s="6" t="str">
        <f>Assumptions!M$8</f>
        <v>Q1'28E</v>
      </c>
      <c r="N7" s="6" t="str">
        <f>Assumptions!N$8</f>
        <v>Q2'28E</v>
      </c>
      <c r="O7" s="6" t="str">
        <f>Assumptions!O$8</f>
        <v>Q3'28E</v>
      </c>
      <c r="P7" s="6" t="str">
        <f>Assumptions!P$8</f>
        <v>Q4'28E</v>
      </c>
      <c r="Q7" s="6" t="str">
        <f>Assumptions!Q$8</f>
        <v>FY28E</v>
      </c>
      <c r="R7" s="6" t="str">
        <f>Assumptions!R$8</f>
        <v>NTM E</v>
      </c>
    </row>
    <row r="8" spans="1:18" x14ac:dyDescent="0.2">
      <c r="A8" s="7" t="s">
        <v>62</v>
      </c>
      <c r="B8" s="8">
        <f>'Data Center'!B10</f>
        <v>5380</v>
      </c>
      <c r="C8" s="8">
        <f>'Data Center'!C10</f>
        <v>5775</v>
      </c>
      <c r="D8" s="8">
        <f>'Data Center'!D10</f>
        <v>6718</v>
      </c>
      <c r="E8" s="8" t="str">
        <f>'Data Center'!E10</f>
        <v/>
      </c>
      <c r="F8" s="8" t="str">
        <f>'Data Center'!F10</f>
        <v/>
      </c>
      <c r="G8" s="8" t="str">
        <f>'Data Center'!G10</f>
        <v/>
      </c>
      <c r="H8" s="8" t="str">
        <f>'Data Center'!H10</f>
        <v/>
      </c>
      <c r="I8" s="8" t="str">
        <f>'Data Center'!I10</f>
        <v/>
      </c>
      <c r="J8" s="8" t="str">
        <f>'Data Center'!J10</f>
        <v/>
      </c>
      <c r="K8" s="8" t="str">
        <f>'Data Center'!K10</f>
        <v/>
      </c>
      <c r="L8" s="8" t="str">
        <f>'Data Center'!L10</f>
        <v/>
      </c>
      <c r="M8" s="8" t="str">
        <f>'Data Center'!M10</f>
        <v/>
      </c>
      <c r="N8" s="8" t="str">
        <f>'Data Center'!N10</f>
        <v/>
      </c>
      <c r="O8" s="8" t="str">
        <f>'Data Center'!O10</f>
        <v/>
      </c>
      <c r="P8" s="8" t="str">
        <f>'Data Center'!P10</f>
        <v/>
      </c>
      <c r="Q8" s="8" t="str">
        <f>'Data Center'!Q10</f>
        <v/>
      </c>
      <c r="R8" s="8" t="str">
        <f>'Data Center'!R10</f>
        <v/>
      </c>
    </row>
    <row r="9" spans="1:18" x14ac:dyDescent="0.2">
      <c r="A9" s="7" t="s">
        <v>63</v>
      </c>
      <c r="B9" s="11"/>
      <c r="C9" s="11"/>
      <c r="D9" s="11"/>
      <c r="E9" s="11"/>
      <c r="F9" s="11"/>
      <c r="G9" s="10" t="str">
        <f>IF(COUNT(C9:F9)&lt;4,"",SUM(C9:F9))</f>
        <v/>
      </c>
      <c r="H9" s="11"/>
      <c r="I9" s="11"/>
      <c r="J9" s="11"/>
      <c r="K9" s="11"/>
      <c r="L9" s="10" t="str">
        <f>IF(COUNT(H9:K9)&lt;4,"",SUM(H9:K9))</f>
        <v/>
      </c>
      <c r="M9" s="11"/>
      <c r="N9" s="11"/>
      <c r="O9" s="11"/>
      <c r="P9" s="11"/>
      <c r="Q9" s="10" t="str">
        <f>IF(COUNT(M9:P9)&lt;4,"",SUM(M9:P9))</f>
        <v/>
      </c>
      <c r="R9" s="10" t="str">
        <f>IF(COUNT(E9,F9,H9,I9)&lt;4,"",SUM(E9,F9,H9,I9))</f>
        <v/>
      </c>
    </row>
    <row r="10" spans="1:18" x14ac:dyDescent="0.2">
      <c r="A10" s="7" t="s">
        <v>64</v>
      </c>
      <c r="B10" s="11"/>
      <c r="C10" s="11"/>
      <c r="D10" s="11"/>
      <c r="E10" s="11"/>
      <c r="F10" s="11"/>
      <c r="G10" s="10" t="str">
        <f>IF(COUNT(C10:F10)&lt;4,"",SUM(C10:F10))</f>
        <v/>
      </c>
      <c r="H10" s="11"/>
      <c r="I10" s="11"/>
      <c r="J10" s="11"/>
      <c r="K10" s="11"/>
      <c r="L10" s="10" t="str">
        <f>IF(COUNT(H10:K10)&lt;4,"",SUM(H10:K10))</f>
        <v/>
      </c>
      <c r="M10" s="11"/>
      <c r="N10" s="11"/>
      <c r="O10" s="11"/>
      <c r="P10" s="11"/>
      <c r="Q10" s="10" t="str">
        <f>IF(COUNT(M10:P10)&lt;4,"",SUM(M10:P10))</f>
        <v/>
      </c>
      <c r="R10" s="10" t="str">
        <f>IF(COUNT(E10,F10,H10,I10)&lt;4,"",SUM(E10,F10,H10,I10))</f>
        <v/>
      </c>
    </row>
    <row r="11" spans="1:18" x14ac:dyDescent="0.2">
      <c r="A11" s="7" t="s">
        <v>65</v>
      </c>
      <c r="B11" s="11"/>
      <c r="C11" s="11"/>
      <c r="D11" s="11"/>
      <c r="E11" s="11"/>
      <c r="F11" s="11"/>
      <c r="G11" s="10" t="str">
        <f>IF(COUNT(C11:F11)&lt;4,"",SUM(C11:F11))</f>
        <v/>
      </c>
      <c r="H11" s="11"/>
      <c r="I11" s="11"/>
      <c r="J11" s="11"/>
      <c r="K11" s="11"/>
      <c r="L11" s="10" t="str">
        <f>IF(COUNT(H11:K11)&lt;4,"",SUM(H11:K11))</f>
        <v/>
      </c>
      <c r="M11" s="11"/>
      <c r="N11" s="11"/>
      <c r="O11" s="11"/>
      <c r="P11" s="11"/>
      <c r="Q11" s="10" t="str">
        <f>IF(COUNT(M11:P11)&lt;4,"",SUM(M11:P11))</f>
        <v/>
      </c>
      <c r="R11" s="10" t="str">
        <f>IF(COUNT(E11,F11,H11,I11)&lt;4,"",SUM(E11,F11,H11,I11))</f>
        <v/>
      </c>
    </row>
    <row r="12" spans="1:18" x14ac:dyDescent="0.2">
      <c r="A12" s="9" t="s">
        <v>66</v>
      </c>
      <c r="B12" s="10">
        <f t="shared" ref="B12:R12" si="0">IF(COUNT(B8:B11)=0,"",SUM(B8:B11))</f>
        <v>5380</v>
      </c>
      <c r="C12" s="10">
        <f t="shared" si="0"/>
        <v>5775</v>
      </c>
      <c r="D12" s="10">
        <f t="shared" si="0"/>
        <v>6718</v>
      </c>
      <c r="E12" s="10" t="str">
        <f t="shared" si="0"/>
        <v/>
      </c>
      <c r="F12" s="10" t="str">
        <f t="shared" si="0"/>
        <v/>
      </c>
      <c r="G12" s="10" t="str">
        <f t="shared" si="0"/>
        <v/>
      </c>
      <c r="H12" s="10" t="str">
        <f t="shared" si="0"/>
        <v/>
      </c>
      <c r="I12" s="10" t="str">
        <f t="shared" si="0"/>
        <v/>
      </c>
      <c r="J12" s="10" t="str">
        <f t="shared" si="0"/>
        <v/>
      </c>
      <c r="K12" s="10" t="str">
        <f t="shared" si="0"/>
        <v/>
      </c>
      <c r="L12" s="10" t="str">
        <f t="shared" si="0"/>
        <v/>
      </c>
      <c r="M12" s="10" t="str">
        <f t="shared" si="0"/>
        <v/>
      </c>
      <c r="N12" s="10" t="str">
        <f t="shared" si="0"/>
        <v/>
      </c>
      <c r="O12" s="10" t="str">
        <f t="shared" si="0"/>
        <v/>
      </c>
      <c r="P12" s="10" t="str">
        <f t="shared" si="0"/>
        <v/>
      </c>
      <c r="Q12" s="10" t="str">
        <f t="shared" si="0"/>
        <v/>
      </c>
      <c r="R12" s="10" t="str">
        <f t="shared" si="0"/>
        <v/>
      </c>
    </row>
    <row r="14" spans="1:18" x14ac:dyDescent="0.2">
      <c r="A14" s="17" t="s">
        <v>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6"/>
  <sheetViews>
    <sheetView showGridLines="0" tabSelected="1" workbookViewId="0">
      <pane xSplit="1" ySplit="5" topLeftCell="B8" activePane="bottomRight" state="frozen"/>
      <selection pane="topRight"/>
      <selection pane="bottomLeft"/>
      <selection pane="bottomRight" activeCell="A14" sqref="A14"/>
    </sheetView>
  </sheetViews>
  <sheetFormatPr baseColWidth="10" defaultColWidth="8.83203125" defaultRowHeight="15" x14ac:dyDescent="0.2"/>
  <cols>
    <col min="1" max="1" width="52" customWidth="1"/>
    <col min="2" max="6" width="11" customWidth="1"/>
    <col min="7" max="7" width="12.5" customWidth="1"/>
    <col min="8" max="11" width="11" customWidth="1"/>
    <col min="12" max="12" width="12.5" customWidth="1"/>
    <col min="13" max="16" width="11" customWidth="1"/>
    <col min="17" max="18" width="12.5" customWidth="1"/>
    <col min="19" max="19" width="10" customWidth="1"/>
    <col min="20" max="20" width="46" customWidth="1"/>
    <col min="21" max="21" width="6" customWidth="1"/>
  </cols>
  <sheetData>
    <row r="1" spans="1:21" ht="19" x14ac:dyDescent="0.25">
      <c r="A1" s="1" t="s">
        <v>88</v>
      </c>
    </row>
    <row r="2" spans="1:21" x14ac:dyDescent="0.2">
      <c r="A2" s="2" t="s">
        <v>89</v>
      </c>
    </row>
    <row r="3" spans="1:21" x14ac:dyDescent="0.2">
      <c r="A3" s="2" t="s">
        <v>90</v>
      </c>
    </row>
    <row r="4" spans="1:21" ht="17" customHeight="1" x14ac:dyDescent="0.2">
      <c r="A4" s="3" t="s">
        <v>91</v>
      </c>
      <c r="B4" s="4"/>
      <c r="C4" s="4"/>
      <c r="D4" s="4"/>
      <c r="E4" s="4"/>
      <c r="F4" s="4"/>
      <c r="G4" s="4"/>
      <c r="H4" s="4"/>
      <c r="I4" s="4"/>
      <c r="J4" s="4"/>
      <c r="K4" s="4"/>
      <c r="L4" s="4"/>
      <c r="M4" s="4"/>
      <c r="N4" s="4"/>
      <c r="O4" s="4"/>
      <c r="P4" s="4"/>
      <c r="Q4" s="4"/>
      <c r="R4" s="4"/>
    </row>
    <row r="5" spans="1:21" x14ac:dyDescent="0.2">
      <c r="A5" s="9" t="s">
        <v>3</v>
      </c>
      <c r="B5" s="18" t="s">
        <v>92</v>
      </c>
      <c r="C5" s="17" t="s">
        <v>93</v>
      </c>
    </row>
    <row r="7" spans="1:21" ht="17" customHeight="1" x14ac:dyDescent="0.2">
      <c r="A7" s="3" t="s">
        <v>94</v>
      </c>
      <c r="B7" s="4"/>
      <c r="C7" s="4"/>
      <c r="D7" s="4"/>
      <c r="E7" s="4"/>
      <c r="F7" s="4"/>
      <c r="G7" s="4"/>
      <c r="H7" s="4"/>
      <c r="I7" s="4"/>
      <c r="J7" s="4"/>
      <c r="K7" s="4"/>
      <c r="L7" s="4"/>
      <c r="M7" s="4"/>
      <c r="N7" s="4"/>
      <c r="O7" s="4"/>
      <c r="P7" s="4"/>
      <c r="Q7" s="4"/>
      <c r="R7" s="4"/>
    </row>
    <row r="8" spans="1:21" x14ac:dyDescent="0.2">
      <c r="A8" s="19" t="s">
        <v>95</v>
      </c>
      <c r="B8" s="6" t="s">
        <v>96</v>
      </c>
      <c r="C8" s="6" t="s">
        <v>97</v>
      </c>
      <c r="D8" s="6" t="s">
        <v>98</v>
      </c>
      <c r="E8" s="6" t="s">
        <v>99</v>
      </c>
      <c r="F8" s="6" t="s">
        <v>100</v>
      </c>
      <c r="G8" s="6" t="s">
        <v>101</v>
      </c>
      <c r="H8" s="6" t="s">
        <v>102</v>
      </c>
      <c r="I8" s="6" t="s">
        <v>103</v>
      </c>
      <c r="J8" s="6" t="s">
        <v>104</v>
      </c>
      <c r="K8" s="6" t="s">
        <v>105</v>
      </c>
      <c r="L8" s="6" t="s">
        <v>106</v>
      </c>
      <c r="M8" s="6" t="s">
        <v>107</v>
      </c>
      <c r="N8" s="6" t="s">
        <v>108</v>
      </c>
      <c r="O8" s="6" t="s">
        <v>109</v>
      </c>
      <c r="P8" s="6" t="s">
        <v>110</v>
      </c>
      <c r="Q8" s="6" t="s">
        <v>111</v>
      </c>
      <c r="R8" s="6" t="s">
        <v>112</v>
      </c>
    </row>
    <row r="9" spans="1:21" x14ac:dyDescent="0.2">
      <c r="A9" s="7" t="s">
        <v>113</v>
      </c>
      <c r="B9" s="20" t="s">
        <v>114</v>
      </c>
      <c r="C9" s="20" t="s">
        <v>114</v>
      </c>
      <c r="D9" s="20" t="s">
        <v>114</v>
      </c>
      <c r="E9" s="21" t="s">
        <v>115</v>
      </c>
      <c r="F9" s="21" t="s">
        <v>115</v>
      </c>
      <c r="G9" s="21" t="s">
        <v>116</v>
      </c>
      <c r="H9" s="21" t="s">
        <v>115</v>
      </c>
      <c r="I9" s="21" t="s">
        <v>115</v>
      </c>
      <c r="J9" s="21" t="s">
        <v>115</v>
      </c>
      <c r="K9" s="21" t="s">
        <v>115</v>
      </c>
      <c r="L9" s="21" t="s">
        <v>116</v>
      </c>
      <c r="M9" s="21" t="s">
        <v>115</v>
      </c>
      <c r="N9" s="21" t="s">
        <v>115</v>
      </c>
      <c r="O9" s="21" t="s">
        <v>115</v>
      </c>
      <c r="P9" s="21" t="s">
        <v>115</v>
      </c>
      <c r="Q9" s="21" t="s">
        <v>116</v>
      </c>
      <c r="R9" s="21" t="s">
        <v>117</v>
      </c>
    </row>
    <row r="10" spans="1:21" x14ac:dyDescent="0.2">
      <c r="A10" s="7" t="s">
        <v>118</v>
      </c>
      <c r="B10" s="22" t="s">
        <v>119</v>
      </c>
      <c r="C10" s="22" t="s">
        <v>120</v>
      </c>
      <c r="D10" s="22" t="s">
        <v>121</v>
      </c>
      <c r="E10" s="22" t="s">
        <v>122</v>
      </c>
      <c r="F10" s="22" t="s">
        <v>123</v>
      </c>
      <c r="G10" s="22" t="s">
        <v>124</v>
      </c>
      <c r="H10" s="22" t="s">
        <v>125</v>
      </c>
      <c r="I10" s="22" t="s">
        <v>126</v>
      </c>
      <c r="J10" s="22" t="s">
        <v>127</v>
      </c>
      <c r="K10" s="22" t="s">
        <v>128</v>
      </c>
      <c r="L10" s="22" t="s">
        <v>129</v>
      </c>
      <c r="M10" s="22" t="s">
        <v>130</v>
      </c>
      <c r="N10" s="22" t="s">
        <v>131</v>
      </c>
      <c r="O10" s="22" t="s">
        <v>132</v>
      </c>
      <c r="P10" s="22" t="s">
        <v>133</v>
      </c>
      <c r="Q10" s="22" t="s">
        <v>134</v>
      </c>
      <c r="R10" s="22" t="s">
        <v>135</v>
      </c>
    </row>
    <row r="11" spans="1:21" x14ac:dyDescent="0.2">
      <c r="A11" s="9" t="s">
        <v>136</v>
      </c>
      <c r="B11" s="23" t="s">
        <v>12</v>
      </c>
      <c r="C11" s="23" t="s">
        <v>12</v>
      </c>
      <c r="D11" s="23" t="s">
        <v>12</v>
      </c>
      <c r="E11" s="24">
        <v>0</v>
      </c>
      <c r="F11" s="24">
        <v>1</v>
      </c>
      <c r="G11" s="23" t="s">
        <v>12</v>
      </c>
      <c r="H11" s="24">
        <v>2</v>
      </c>
      <c r="I11" s="24">
        <v>3</v>
      </c>
      <c r="J11" s="24">
        <v>4</v>
      </c>
      <c r="K11" s="24">
        <v>5</v>
      </c>
      <c r="L11" s="24">
        <f>AVERAGE(H11:K11)</f>
        <v>3.5</v>
      </c>
      <c r="M11" s="24">
        <v>6</v>
      </c>
      <c r="N11" s="24">
        <v>7</v>
      </c>
      <c r="O11" s="24">
        <v>8</v>
      </c>
      <c r="P11" s="24">
        <v>9</v>
      </c>
      <c r="Q11" s="24">
        <f>AVERAGE(M11:P11)</f>
        <v>7.5</v>
      </c>
      <c r="R11" s="23" t="s">
        <v>12</v>
      </c>
    </row>
    <row r="12" spans="1:21" x14ac:dyDescent="0.2">
      <c r="A12" s="17" t="s">
        <v>137</v>
      </c>
    </row>
    <row r="14" spans="1:21" ht="17" customHeight="1" x14ac:dyDescent="0.2">
      <c r="A14" s="3" t="s">
        <v>138</v>
      </c>
      <c r="B14" s="4"/>
      <c r="C14" s="4"/>
      <c r="D14" s="4"/>
      <c r="E14" s="4"/>
      <c r="F14" s="4"/>
      <c r="G14" s="4"/>
      <c r="H14" s="4"/>
      <c r="I14" s="4"/>
      <c r="J14" s="4"/>
      <c r="K14" s="4"/>
      <c r="L14" s="4"/>
      <c r="M14" s="4"/>
      <c r="N14" s="4"/>
      <c r="O14" s="4"/>
      <c r="P14" s="4"/>
      <c r="Q14" s="4"/>
      <c r="R14" s="4"/>
    </row>
    <row r="15" spans="1:21" x14ac:dyDescent="0.2">
      <c r="A15" s="15" t="s">
        <v>139</v>
      </c>
    </row>
    <row r="16" spans="1:21" x14ac:dyDescent="0.2">
      <c r="A16" s="19" t="s">
        <v>140</v>
      </c>
      <c r="B16" s="6" t="s">
        <v>141</v>
      </c>
      <c r="C16" s="6" t="s">
        <v>96</v>
      </c>
      <c r="D16" s="6" t="s">
        <v>97</v>
      </c>
      <c r="E16" s="6" t="s">
        <v>98</v>
      </c>
      <c r="F16" s="6" t="s">
        <v>142</v>
      </c>
      <c r="S16" s="19" t="s">
        <v>143</v>
      </c>
      <c r="T16" s="19" t="s">
        <v>144</v>
      </c>
      <c r="U16" s="19" t="s">
        <v>145</v>
      </c>
    </row>
    <row r="17" spans="1:21" x14ac:dyDescent="0.2">
      <c r="A17" s="7" t="s">
        <v>146</v>
      </c>
      <c r="B17" s="25">
        <v>4341</v>
      </c>
      <c r="C17" s="25">
        <v>5380</v>
      </c>
      <c r="D17" s="25">
        <v>5775</v>
      </c>
      <c r="E17" s="25">
        <v>6718</v>
      </c>
      <c r="F17" s="26">
        <f>SUM(B17:E17)</f>
        <v>22214</v>
      </c>
      <c r="S17" s="17" t="s">
        <v>147</v>
      </c>
      <c r="T17" s="17" t="s">
        <v>148</v>
      </c>
      <c r="U17" s="27" t="s">
        <v>149</v>
      </c>
    </row>
    <row r="18" spans="1:21" x14ac:dyDescent="0.2">
      <c r="A18" s="7" t="s">
        <v>150</v>
      </c>
      <c r="B18" s="28">
        <v>3549</v>
      </c>
      <c r="C18" s="28">
        <v>3859</v>
      </c>
      <c r="D18" s="28">
        <v>3674</v>
      </c>
      <c r="E18" s="28">
        <v>3240</v>
      </c>
      <c r="F18" s="26">
        <f>SUM(B18:E18)</f>
        <v>14322</v>
      </c>
      <c r="S18" s="17" t="s">
        <v>147</v>
      </c>
      <c r="T18" s="17" t="s">
        <v>151</v>
      </c>
      <c r="U18" s="27" t="s">
        <v>149</v>
      </c>
    </row>
    <row r="19" spans="1:21" x14ac:dyDescent="0.2">
      <c r="A19" s="7" t="s">
        <v>152</v>
      </c>
      <c r="B19" s="11">
        <v>2691</v>
      </c>
      <c r="C19" s="11">
        <v>3230</v>
      </c>
      <c r="D19" s="11">
        <v>3650</v>
      </c>
      <c r="E19" s="11">
        <v>3993</v>
      </c>
      <c r="F19" s="26">
        <f>SUM(B19:E19)</f>
        <v>13564</v>
      </c>
      <c r="S19" s="17" t="s">
        <v>147</v>
      </c>
      <c r="T19" s="17" t="s">
        <v>153</v>
      </c>
      <c r="U19" s="27" t="s">
        <v>154</v>
      </c>
    </row>
    <row r="20" spans="1:21" x14ac:dyDescent="0.2">
      <c r="A20" s="7" t="s">
        <v>155</v>
      </c>
      <c r="B20" s="25">
        <f>B17-B19</f>
        <v>1650</v>
      </c>
      <c r="C20" s="25">
        <f>C17-C19</f>
        <v>2150</v>
      </c>
      <c r="D20" s="25">
        <f>D17-D19</f>
        <v>2125</v>
      </c>
      <c r="E20" s="25">
        <f>E17-E19</f>
        <v>2725</v>
      </c>
      <c r="F20" s="26">
        <f>SUM(B20:E20)</f>
        <v>8650</v>
      </c>
      <c r="S20" s="17" t="s">
        <v>147</v>
      </c>
      <c r="T20" s="17" t="s">
        <v>156</v>
      </c>
      <c r="U20" s="27" t="s">
        <v>154</v>
      </c>
    </row>
    <row r="21" spans="1:21" x14ac:dyDescent="0.2">
      <c r="A21" s="7" t="s">
        <v>157</v>
      </c>
      <c r="B21" s="29">
        <f>IFERROR(B20/B17,"")</f>
        <v>0.38009675190048375</v>
      </c>
      <c r="C21" s="29">
        <f>IFERROR(C20/C17,"")</f>
        <v>0.3996282527881041</v>
      </c>
      <c r="D21" s="29">
        <f>IFERROR(D20/D17,"")</f>
        <v>0.36796536796536794</v>
      </c>
      <c r="E21" s="29">
        <f>IFERROR(E20/E17,"")</f>
        <v>0.40562667460553736</v>
      </c>
      <c r="F21" s="29">
        <f>IFERROR(F20/F17,"")</f>
        <v>0.38939407580804897</v>
      </c>
      <c r="S21" s="17" t="s">
        <v>158</v>
      </c>
      <c r="T21" s="17" t="s">
        <v>159</v>
      </c>
    </row>
    <row r="22" spans="1:21" x14ac:dyDescent="0.2">
      <c r="A22" s="7" t="s">
        <v>160</v>
      </c>
      <c r="B22" s="30">
        <v>0.39500000000000002</v>
      </c>
      <c r="C22" s="30">
        <v>0.41299999999999998</v>
      </c>
      <c r="D22" s="30">
        <v>0.46200000000000002</v>
      </c>
      <c r="E22" s="30">
        <v>0.49</v>
      </c>
      <c r="F22" s="23" t="s">
        <v>12</v>
      </c>
      <c r="S22" s="17" t="s">
        <v>161</v>
      </c>
      <c r="T22" s="17" t="s">
        <v>162</v>
      </c>
      <c r="U22" s="27" t="s">
        <v>163</v>
      </c>
    </row>
    <row r="23" spans="1:21" x14ac:dyDescent="0.2">
      <c r="A23" s="7" t="s">
        <v>164</v>
      </c>
      <c r="B23" s="23" t="s">
        <v>12</v>
      </c>
      <c r="C23" s="29">
        <f>IFERROR(C20/B20-1,"")</f>
        <v>0.30303030303030298</v>
      </c>
      <c r="D23" s="29">
        <f>IFERROR(D20/C20-1,"")</f>
        <v>-1.1627906976744207E-2</v>
      </c>
      <c r="E23" s="29">
        <f>IFERROR(E20/D20-1,"")</f>
        <v>0.2823529411764707</v>
      </c>
      <c r="F23" s="23" t="s">
        <v>12</v>
      </c>
      <c r="S23" s="17" t="s">
        <v>165</v>
      </c>
      <c r="T23" s="17" t="s">
        <v>166</v>
      </c>
    </row>
    <row r="24" spans="1:21" x14ac:dyDescent="0.2">
      <c r="A24" s="7" t="s">
        <v>167</v>
      </c>
      <c r="B24" s="25">
        <v>16635</v>
      </c>
      <c r="C24" s="23" t="s">
        <v>12</v>
      </c>
      <c r="D24" s="23" t="s">
        <v>12</v>
      </c>
      <c r="E24" s="23" t="s">
        <v>12</v>
      </c>
      <c r="F24" s="23" t="s">
        <v>12</v>
      </c>
      <c r="S24" s="17" t="s">
        <v>147</v>
      </c>
      <c r="T24" s="17" t="s">
        <v>168</v>
      </c>
      <c r="U24" s="27" t="s">
        <v>149</v>
      </c>
    </row>
    <row r="26" spans="1:21" ht="17" customHeight="1" x14ac:dyDescent="0.2">
      <c r="A26" s="3" t="s">
        <v>169</v>
      </c>
      <c r="B26" s="4"/>
      <c r="C26" s="4"/>
      <c r="D26" s="4"/>
      <c r="E26" s="4"/>
      <c r="F26" s="4"/>
      <c r="G26" s="4"/>
      <c r="H26" s="4"/>
      <c r="I26" s="4"/>
      <c r="J26" s="4"/>
      <c r="K26" s="4"/>
      <c r="L26" s="4"/>
      <c r="M26" s="4"/>
      <c r="N26" s="4"/>
      <c r="O26" s="4"/>
      <c r="P26" s="4"/>
      <c r="Q26" s="4"/>
      <c r="R26" s="4"/>
    </row>
    <row r="27" spans="1:21" x14ac:dyDescent="0.2">
      <c r="A27" s="19" t="s">
        <v>170</v>
      </c>
      <c r="B27" s="6" t="s">
        <v>171</v>
      </c>
      <c r="C27" s="6" t="s">
        <v>92</v>
      </c>
      <c r="D27" s="6" t="s">
        <v>172</v>
      </c>
      <c r="E27" s="6" t="s">
        <v>173</v>
      </c>
      <c r="F27" s="19" t="s">
        <v>143</v>
      </c>
      <c r="G27" s="19" t="s">
        <v>145</v>
      </c>
      <c r="H27" s="40" t="s">
        <v>174</v>
      </c>
      <c r="I27" s="41"/>
      <c r="J27" s="41"/>
      <c r="K27" s="41"/>
      <c r="L27" s="41"/>
      <c r="M27" s="41"/>
      <c r="N27" s="41"/>
      <c r="O27" s="41"/>
      <c r="P27" s="41"/>
      <c r="Q27" s="41"/>
      <c r="R27" s="41"/>
    </row>
    <row r="28" spans="1:21" x14ac:dyDescent="0.2">
      <c r="A28" s="7" t="s">
        <v>175</v>
      </c>
      <c r="B28" s="30">
        <v>0.35</v>
      </c>
      <c r="C28" s="30">
        <v>0.38</v>
      </c>
      <c r="D28" s="30">
        <v>0.4</v>
      </c>
      <c r="E28" s="31">
        <f>IF($B$5="Bear",B28,IF($B$5="Base",C28,D28))</f>
        <v>0.38</v>
      </c>
      <c r="F28" s="22" t="s">
        <v>176</v>
      </c>
      <c r="G28" s="27" t="s">
        <v>177</v>
      </c>
      <c r="H28" s="42" t="s">
        <v>178</v>
      </c>
      <c r="I28" s="43"/>
      <c r="J28" s="43"/>
      <c r="K28" s="43"/>
      <c r="L28" s="43"/>
      <c r="M28" s="43"/>
      <c r="N28" s="43"/>
      <c r="O28" s="43"/>
      <c r="P28" s="43"/>
      <c r="Q28" s="43"/>
      <c r="R28" s="43"/>
    </row>
    <row r="29" spans="1:21" x14ac:dyDescent="0.2">
      <c r="A29" s="7" t="s">
        <v>179</v>
      </c>
      <c r="B29" s="30">
        <v>0.15</v>
      </c>
      <c r="C29" s="30">
        <v>0.2</v>
      </c>
      <c r="D29" s="30">
        <v>0.25</v>
      </c>
      <c r="E29" s="31">
        <f>IF($B$5="Bear",B29,IF($B$5="Base",C29,D29))</f>
        <v>0.2</v>
      </c>
      <c r="F29" s="22" t="s">
        <v>176</v>
      </c>
      <c r="G29" s="27" t="s">
        <v>180</v>
      </c>
      <c r="H29" s="42" t="s">
        <v>181</v>
      </c>
      <c r="I29" s="43"/>
      <c r="J29" s="43"/>
      <c r="K29" s="43"/>
      <c r="L29" s="43"/>
      <c r="M29" s="43"/>
      <c r="N29" s="43"/>
      <c r="O29" s="43"/>
      <c r="P29" s="43"/>
      <c r="Q29" s="43"/>
      <c r="R29" s="43"/>
    </row>
    <row r="30" spans="1:21" x14ac:dyDescent="0.2">
      <c r="A30" s="7" t="s">
        <v>182</v>
      </c>
      <c r="B30" s="30">
        <v>0.49</v>
      </c>
      <c r="C30" s="30">
        <v>0.5</v>
      </c>
      <c r="D30" s="30">
        <v>0.51</v>
      </c>
      <c r="E30" s="31">
        <f>IF($B$5="Bear",B30,IF($B$5="Base",C30,D30))</f>
        <v>0.5</v>
      </c>
      <c r="F30" s="22" t="s">
        <v>161</v>
      </c>
      <c r="G30" s="27" t="s">
        <v>163</v>
      </c>
      <c r="H30" s="42" t="s">
        <v>183</v>
      </c>
      <c r="I30" s="43"/>
      <c r="J30" s="43"/>
      <c r="K30" s="43"/>
      <c r="L30" s="43"/>
      <c r="M30" s="43"/>
      <c r="N30" s="43"/>
      <c r="O30" s="43"/>
      <c r="P30" s="43"/>
      <c r="Q30" s="43"/>
      <c r="R30" s="43"/>
    </row>
    <row r="31" spans="1:21" x14ac:dyDescent="0.2">
      <c r="A31" s="7" t="s">
        <v>184</v>
      </c>
      <c r="B31" s="32">
        <v>0</v>
      </c>
      <c r="C31" s="32">
        <v>5.0000000000000001E-3</v>
      </c>
      <c r="D31" s="32">
        <v>0.01</v>
      </c>
      <c r="E31" s="33">
        <f>IF($B$5="Bear",B31,IF($B$5="Base",C31,D31))</f>
        <v>5.0000000000000001E-3</v>
      </c>
      <c r="F31" s="22" t="s">
        <v>185</v>
      </c>
      <c r="G31" s="27" t="s">
        <v>163</v>
      </c>
      <c r="H31" s="42" t="s">
        <v>186</v>
      </c>
      <c r="I31" s="43"/>
      <c r="J31" s="43"/>
      <c r="K31" s="43"/>
      <c r="L31" s="43"/>
      <c r="M31" s="43"/>
      <c r="N31" s="43"/>
      <c r="O31" s="43"/>
      <c r="P31" s="43"/>
      <c r="Q31" s="43"/>
      <c r="R31" s="43"/>
    </row>
    <row r="33" spans="1:18" ht="17" customHeight="1" x14ac:dyDescent="0.2">
      <c r="A33" s="3" t="s">
        <v>187</v>
      </c>
      <c r="B33" s="4"/>
      <c r="C33" s="4"/>
      <c r="D33" s="4"/>
      <c r="E33" s="4"/>
      <c r="F33" s="4"/>
      <c r="G33" s="4"/>
      <c r="H33" s="4"/>
      <c r="I33" s="4"/>
      <c r="J33" s="4"/>
      <c r="K33" s="4"/>
      <c r="L33" s="4"/>
      <c r="M33" s="4"/>
      <c r="N33" s="4"/>
      <c r="O33" s="4"/>
      <c r="P33" s="4"/>
      <c r="Q33" s="4"/>
      <c r="R33" s="4"/>
    </row>
    <row r="34" spans="1:18" x14ac:dyDescent="0.2">
      <c r="A34" s="19" t="s">
        <v>170</v>
      </c>
      <c r="B34" s="6" t="s">
        <v>171</v>
      </c>
      <c r="C34" s="6" t="s">
        <v>92</v>
      </c>
      <c r="D34" s="6" t="s">
        <v>172</v>
      </c>
      <c r="E34" s="6" t="s">
        <v>173</v>
      </c>
      <c r="F34" s="19" t="s">
        <v>143</v>
      </c>
      <c r="G34" s="19" t="s">
        <v>145</v>
      </c>
      <c r="H34" s="40" t="s">
        <v>174</v>
      </c>
      <c r="I34" s="41"/>
      <c r="J34" s="41"/>
      <c r="K34" s="41"/>
      <c r="L34" s="41"/>
      <c r="M34" s="41"/>
      <c r="N34" s="41"/>
      <c r="O34" s="41"/>
      <c r="P34" s="41"/>
      <c r="Q34" s="41"/>
      <c r="R34" s="41"/>
    </row>
    <row r="35" spans="1:18" x14ac:dyDescent="0.2">
      <c r="A35" s="7" t="s">
        <v>188</v>
      </c>
      <c r="B35" s="30"/>
      <c r="C35" s="30"/>
      <c r="D35" s="30"/>
      <c r="E35" s="31" t="str">
        <f>IF($B$5="Bear",IF(B35="","",B35),IF($B$5="Base",IF(C35="","",C35),IF(D35="","",D35)))</f>
        <v/>
      </c>
      <c r="F35" s="22" t="s">
        <v>165</v>
      </c>
      <c r="G35" s="27" t="s">
        <v>189</v>
      </c>
      <c r="H35" s="42" t="s">
        <v>190</v>
      </c>
      <c r="I35" s="43"/>
      <c r="J35" s="43"/>
      <c r="K35" s="43"/>
      <c r="L35" s="43"/>
      <c r="M35" s="43"/>
      <c r="N35" s="43"/>
      <c r="O35" s="43"/>
      <c r="P35" s="43"/>
      <c r="Q35" s="43"/>
      <c r="R35" s="43"/>
    </row>
    <row r="36" spans="1:18" x14ac:dyDescent="0.2">
      <c r="A36" s="7" t="s">
        <v>191</v>
      </c>
      <c r="B36" s="30"/>
      <c r="C36" s="30"/>
      <c r="D36" s="30"/>
      <c r="E36" s="31" t="str">
        <f>IF($B$5="Bear",IF(B36="","",B36),IF($B$5="Base",IF(C36="","",C36),IF(D36="","",D36)))</f>
        <v/>
      </c>
      <c r="F36" s="22" t="s">
        <v>165</v>
      </c>
      <c r="G36" s="27" t="s">
        <v>189</v>
      </c>
      <c r="H36" s="42" t="s">
        <v>192</v>
      </c>
      <c r="I36" s="43"/>
      <c r="J36" s="43"/>
      <c r="K36" s="43"/>
      <c r="L36" s="43"/>
      <c r="M36" s="43"/>
      <c r="N36" s="43"/>
      <c r="O36" s="43"/>
      <c r="P36" s="43"/>
      <c r="Q36" s="43"/>
      <c r="R36" s="43"/>
    </row>
    <row r="37" spans="1:18" x14ac:dyDescent="0.2">
      <c r="A37" s="15" t="s">
        <v>193</v>
      </c>
    </row>
    <row r="39" spans="1:18" ht="17" customHeight="1" x14ac:dyDescent="0.2">
      <c r="A39" s="3" t="s">
        <v>194</v>
      </c>
      <c r="B39" s="4"/>
      <c r="C39" s="4"/>
      <c r="D39" s="4"/>
      <c r="E39" s="4"/>
      <c r="F39" s="4"/>
      <c r="G39" s="4"/>
      <c r="H39" s="4"/>
      <c r="I39" s="4"/>
      <c r="J39" s="4"/>
      <c r="K39" s="4"/>
      <c r="L39" s="4"/>
      <c r="M39" s="4"/>
      <c r="N39" s="4"/>
      <c r="O39" s="4"/>
      <c r="P39" s="4"/>
      <c r="Q39" s="4"/>
      <c r="R39" s="4"/>
    </row>
    <row r="40" spans="1:18" x14ac:dyDescent="0.2">
      <c r="A40" s="19" t="s">
        <v>145</v>
      </c>
      <c r="B40" s="40" t="s">
        <v>140</v>
      </c>
      <c r="C40" s="41"/>
      <c r="D40" s="41"/>
      <c r="E40" s="41"/>
      <c r="F40" s="40" t="s">
        <v>144</v>
      </c>
      <c r="G40" s="41"/>
      <c r="H40" s="19" t="s">
        <v>195</v>
      </c>
      <c r="I40" s="40" t="s">
        <v>196</v>
      </c>
      <c r="J40" s="41"/>
      <c r="K40" s="41"/>
      <c r="L40" s="41"/>
      <c r="M40" s="41"/>
      <c r="N40" s="41"/>
      <c r="O40" s="40" t="s">
        <v>197</v>
      </c>
      <c r="P40" s="41"/>
      <c r="Q40" s="41"/>
      <c r="R40" s="41"/>
    </row>
    <row r="41" spans="1:18" ht="34" customHeight="1" x14ac:dyDescent="0.2">
      <c r="A41" s="34" t="s">
        <v>149</v>
      </c>
      <c r="B41" s="45" t="s">
        <v>198</v>
      </c>
      <c r="C41" s="43"/>
      <c r="D41" s="43"/>
      <c r="E41" s="43"/>
      <c r="F41" s="42" t="s">
        <v>199</v>
      </c>
      <c r="G41" s="43"/>
      <c r="H41" s="12" t="s">
        <v>200</v>
      </c>
      <c r="I41" s="42" t="s">
        <v>201</v>
      </c>
      <c r="J41" s="43"/>
      <c r="K41" s="43"/>
      <c r="L41" s="43"/>
      <c r="M41" s="43"/>
      <c r="N41" s="43"/>
      <c r="O41" s="44" t="s">
        <v>202</v>
      </c>
      <c r="P41" s="43"/>
      <c r="Q41" s="43"/>
      <c r="R41" s="43"/>
    </row>
    <row r="42" spans="1:18" ht="34" customHeight="1" x14ac:dyDescent="0.2">
      <c r="A42" s="34" t="s">
        <v>154</v>
      </c>
      <c r="B42" s="45" t="s">
        <v>203</v>
      </c>
      <c r="C42" s="43"/>
      <c r="D42" s="43"/>
      <c r="E42" s="43"/>
      <c r="F42" s="42" t="s">
        <v>204</v>
      </c>
      <c r="G42" s="43"/>
      <c r="H42" s="12" t="s">
        <v>205</v>
      </c>
      <c r="I42" s="42" t="s">
        <v>206</v>
      </c>
      <c r="J42" s="43"/>
      <c r="K42" s="43"/>
      <c r="L42" s="43"/>
      <c r="M42" s="43"/>
      <c r="N42" s="43"/>
      <c r="O42" s="43"/>
      <c r="P42" s="43"/>
      <c r="Q42" s="43"/>
      <c r="R42" s="43"/>
    </row>
    <row r="43" spans="1:18" ht="34" customHeight="1" x14ac:dyDescent="0.2">
      <c r="A43" s="34" t="s">
        <v>163</v>
      </c>
      <c r="B43" s="45" t="s">
        <v>207</v>
      </c>
      <c r="C43" s="43"/>
      <c r="D43" s="43"/>
      <c r="E43" s="43"/>
      <c r="F43" s="42" t="s">
        <v>208</v>
      </c>
      <c r="G43" s="43"/>
      <c r="H43" s="12" t="s">
        <v>209</v>
      </c>
      <c r="I43" s="42" t="s">
        <v>210</v>
      </c>
      <c r="J43" s="43"/>
      <c r="K43" s="43"/>
      <c r="L43" s="43"/>
      <c r="M43" s="43"/>
      <c r="N43" s="43"/>
      <c r="O43" s="44" t="s">
        <v>211</v>
      </c>
      <c r="P43" s="43"/>
      <c r="Q43" s="43"/>
      <c r="R43" s="43"/>
    </row>
    <row r="44" spans="1:18" ht="34" customHeight="1" x14ac:dyDescent="0.2">
      <c r="A44" s="34" t="s">
        <v>177</v>
      </c>
      <c r="B44" s="45" t="s">
        <v>212</v>
      </c>
      <c r="C44" s="43"/>
      <c r="D44" s="43"/>
      <c r="E44" s="43"/>
      <c r="F44" s="42" t="s">
        <v>208</v>
      </c>
      <c r="G44" s="43"/>
      <c r="H44" s="12" t="s">
        <v>213</v>
      </c>
      <c r="I44" s="42" t="s">
        <v>214</v>
      </c>
      <c r="J44" s="43"/>
      <c r="K44" s="43"/>
      <c r="L44" s="43"/>
      <c r="M44" s="43"/>
      <c r="N44" s="43"/>
      <c r="O44" s="44" t="s">
        <v>215</v>
      </c>
      <c r="P44" s="43"/>
      <c r="Q44" s="43"/>
      <c r="R44" s="43"/>
    </row>
    <row r="45" spans="1:18" ht="34" customHeight="1" x14ac:dyDescent="0.2">
      <c r="A45" s="34" t="s">
        <v>216</v>
      </c>
      <c r="B45" s="45" t="s">
        <v>217</v>
      </c>
      <c r="C45" s="43"/>
      <c r="D45" s="43"/>
      <c r="E45" s="43"/>
      <c r="F45" s="42" t="s">
        <v>208</v>
      </c>
      <c r="G45" s="43"/>
      <c r="H45" s="12" t="s">
        <v>218</v>
      </c>
      <c r="I45" s="42" t="s">
        <v>219</v>
      </c>
      <c r="J45" s="43"/>
      <c r="K45" s="43"/>
      <c r="L45" s="43"/>
      <c r="M45" s="43"/>
      <c r="N45" s="43"/>
      <c r="O45" s="44" t="s">
        <v>220</v>
      </c>
      <c r="P45" s="43"/>
      <c r="Q45" s="43"/>
      <c r="R45" s="43"/>
    </row>
    <row r="46" spans="1:18" ht="34" customHeight="1" x14ac:dyDescent="0.2">
      <c r="A46" s="34" t="s">
        <v>189</v>
      </c>
      <c r="B46" s="45" t="s">
        <v>221</v>
      </c>
      <c r="C46" s="43"/>
      <c r="D46" s="43"/>
      <c r="E46" s="43"/>
      <c r="F46" s="42" t="s">
        <v>222</v>
      </c>
      <c r="G46" s="43"/>
      <c r="I46" s="42" t="s">
        <v>223</v>
      </c>
      <c r="J46" s="43"/>
      <c r="K46" s="43"/>
      <c r="L46" s="43"/>
      <c r="M46" s="43"/>
      <c r="N46" s="43"/>
      <c r="O46" s="43"/>
      <c r="P46" s="43"/>
      <c r="Q46" s="43"/>
      <c r="R46" s="43"/>
    </row>
  </sheetData>
  <mergeCells count="36">
    <mergeCell ref="B40:E40"/>
    <mergeCell ref="I41:N41"/>
    <mergeCell ref="H35:R35"/>
    <mergeCell ref="H29:R29"/>
    <mergeCell ref="B46:E46"/>
    <mergeCell ref="I44:N44"/>
    <mergeCell ref="O45:R45"/>
    <mergeCell ref="B43:E43"/>
    <mergeCell ref="I40:N40"/>
    <mergeCell ref="F46:G46"/>
    <mergeCell ref="B42:E42"/>
    <mergeCell ref="B44:E44"/>
    <mergeCell ref="I43:N43"/>
    <mergeCell ref="F40:G40"/>
    <mergeCell ref="B45:E45"/>
    <mergeCell ref="B41:E41"/>
    <mergeCell ref="F45:G45"/>
    <mergeCell ref="F42:G42"/>
    <mergeCell ref="F41:G41"/>
    <mergeCell ref="H28:R28"/>
    <mergeCell ref="F43:G43"/>
    <mergeCell ref="O41:R41"/>
    <mergeCell ref="F44:G44"/>
    <mergeCell ref="H27:R27"/>
    <mergeCell ref="I46:N46"/>
    <mergeCell ref="O44:R44"/>
    <mergeCell ref="I45:N45"/>
    <mergeCell ref="O43:R43"/>
    <mergeCell ref="O46:R46"/>
    <mergeCell ref="O40:R40"/>
    <mergeCell ref="O42:R42"/>
    <mergeCell ref="H31:R31"/>
    <mergeCell ref="H34:R34"/>
    <mergeCell ref="H36:R36"/>
    <mergeCell ref="H30:R30"/>
    <mergeCell ref="I42:N42"/>
  </mergeCells>
  <hyperlinks>
    <hyperlink ref="O41" r:id="rId1" xr:uid="{00000000-0004-0000-0200-000000000000}"/>
    <hyperlink ref="O43" r:id="rId2" xr:uid="{00000000-0004-0000-0200-000001000000}"/>
    <hyperlink ref="O44" r:id="rId3" xr:uid="{00000000-0004-0000-0200-000002000000}"/>
    <hyperlink ref="O45" r:id="rId4" xr:uid="{00000000-0004-0000-0200-00000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4"/>
  <sheetViews>
    <sheetView showGridLines="0" workbookViewId="0">
      <pane xSplit="1" ySplit="7" topLeftCell="B8" activePane="bottomRight" state="frozen"/>
      <selection pane="topRight"/>
      <selection pane="bottomLeft"/>
      <selection pane="bottomRight" activeCell="B20" sqref="B20"/>
    </sheetView>
  </sheetViews>
  <sheetFormatPr baseColWidth="10" defaultColWidth="8.83203125" defaultRowHeight="15" x14ac:dyDescent="0.2"/>
  <cols>
    <col min="1" max="1" width="54" customWidth="1"/>
    <col min="2" max="6" width="11" customWidth="1"/>
    <col min="7" max="7" width="12.5" customWidth="1"/>
    <col min="8" max="11" width="11" customWidth="1"/>
    <col min="12" max="12" width="12.5" customWidth="1"/>
    <col min="13" max="16" width="11" customWidth="1"/>
    <col min="17" max="18" width="12.5" customWidth="1"/>
  </cols>
  <sheetData>
    <row r="1" spans="1:18" ht="19" x14ac:dyDescent="0.25">
      <c r="A1" s="1" t="s">
        <v>0</v>
      </c>
    </row>
    <row r="2" spans="1:18" x14ac:dyDescent="0.2">
      <c r="A2" s="2" t="s">
        <v>1</v>
      </c>
    </row>
    <row r="3" spans="1:18" x14ac:dyDescent="0.2">
      <c r="A3" s="2" t="s">
        <v>2</v>
      </c>
    </row>
    <row r="4" spans="1:18" x14ac:dyDescent="0.2">
      <c r="A4" s="9" t="s">
        <v>3</v>
      </c>
      <c r="B4" s="16" t="str">
        <f>Assumptions!$B$5</f>
        <v>Base</v>
      </c>
      <c r="C4" s="17" t="s">
        <v>4</v>
      </c>
    </row>
    <row r="6" spans="1:18" ht="17" customHeight="1" x14ac:dyDescent="0.2">
      <c r="A6" s="3" t="s">
        <v>5</v>
      </c>
      <c r="B6" s="4"/>
      <c r="C6" s="4"/>
      <c r="D6" s="4"/>
      <c r="E6" s="4"/>
      <c r="F6" s="4"/>
      <c r="G6" s="4"/>
      <c r="H6" s="4"/>
      <c r="I6" s="4"/>
      <c r="J6" s="4"/>
      <c r="K6" s="4"/>
      <c r="L6" s="4"/>
      <c r="M6" s="4"/>
      <c r="N6" s="4"/>
      <c r="O6" s="4"/>
      <c r="P6" s="4"/>
      <c r="Q6" s="4"/>
      <c r="R6" s="4"/>
    </row>
    <row r="7" spans="1:18" ht="15" customHeight="1" x14ac:dyDescent="0.2">
      <c r="A7" s="5" t="s">
        <v>6</v>
      </c>
      <c r="B7" s="6" t="str">
        <f>Assumptions!B$8</f>
        <v>Q4'25A</v>
      </c>
      <c r="C7" s="6" t="str">
        <f>Assumptions!C$8</f>
        <v>Q1'26A</v>
      </c>
      <c r="D7" s="6" t="str">
        <f>Assumptions!D$8</f>
        <v>Q2'26A</v>
      </c>
      <c r="E7" s="6" t="str">
        <f>Assumptions!E$8</f>
        <v>Q3'26E</v>
      </c>
      <c r="F7" s="6" t="str">
        <f>Assumptions!F$8</f>
        <v>Q4'26E</v>
      </c>
      <c r="G7" s="6" t="str">
        <f>Assumptions!G$8</f>
        <v>FY26E</v>
      </c>
      <c r="H7" s="6" t="str">
        <f>Assumptions!H$8</f>
        <v>Q1'27E</v>
      </c>
      <c r="I7" s="6" t="str">
        <f>Assumptions!I$8</f>
        <v>Q2'27E</v>
      </c>
      <c r="J7" s="6" t="str">
        <f>Assumptions!J$8</f>
        <v>Q3'27E</v>
      </c>
      <c r="K7" s="6" t="str">
        <f>Assumptions!K$8</f>
        <v>Q4'27E</v>
      </c>
      <c r="L7" s="6" t="str">
        <f>Assumptions!L$8</f>
        <v>FY27E</v>
      </c>
      <c r="M7" s="6" t="str">
        <f>Assumptions!M$8</f>
        <v>Q1'28E</v>
      </c>
      <c r="N7" s="6" t="str">
        <f>Assumptions!N$8</f>
        <v>Q2'28E</v>
      </c>
      <c r="O7" s="6" t="str">
        <f>Assumptions!O$8</f>
        <v>Q3'28E</v>
      </c>
      <c r="P7" s="6" t="str">
        <f>Assumptions!P$8</f>
        <v>Q4'28E</v>
      </c>
      <c r="Q7" s="6" t="str">
        <f>Assumptions!Q$8</f>
        <v>FY28E</v>
      </c>
      <c r="R7" s="6" t="str">
        <f>Assumptions!R$8</f>
        <v>NTM E</v>
      </c>
    </row>
    <row r="8" spans="1:18" x14ac:dyDescent="0.2">
      <c r="A8" s="7" t="s">
        <v>7</v>
      </c>
      <c r="B8" s="26">
        <f t="shared" ref="B8:R8" si="0">B24</f>
        <v>3230</v>
      </c>
      <c r="C8" s="26">
        <f t="shared" si="0"/>
        <v>3650</v>
      </c>
      <c r="D8" s="26">
        <f t="shared" si="0"/>
        <v>3993</v>
      </c>
      <c r="E8" s="26">
        <f t="shared" si="0"/>
        <v>4700.7341772151894</v>
      </c>
      <c r="F8" s="26">
        <f t="shared" si="0"/>
        <v>5355.5433414043582</v>
      </c>
      <c r="G8" s="26">
        <f t="shared" si="0"/>
        <v>17699.277518619547</v>
      </c>
      <c r="H8" s="26">
        <f t="shared" si="0"/>
        <v>5366.9220779220777</v>
      </c>
      <c r="I8" s="26">
        <f t="shared" si="0"/>
        <v>5489.3156326530616</v>
      </c>
      <c r="J8" s="26">
        <f t="shared" si="0"/>
        <v>6277.1723908860758</v>
      </c>
      <c r="K8" s="26">
        <f t="shared" si="0"/>
        <v>7015.2315254237292</v>
      </c>
      <c r="L8" s="26">
        <f t="shared" si="0"/>
        <v>24148.641626884946</v>
      </c>
      <c r="M8" s="26">
        <f t="shared" si="0"/>
        <v>6893.6535584415578</v>
      </c>
      <c r="N8" s="26">
        <f t="shared" si="0"/>
        <v>6911.4214417959192</v>
      </c>
      <c r="O8" s="26">
        <f t="shared" si="0"/>
        <v>7744.0992926946828</v>
      </c>
      <c r="P8" s="26">
        <f t="shared" si="0"/>
        <v>8476.8049049491528</v>
      </c>
      <c r="Q8" s="26">
        <f t="shared" si="0"/>
        <v>30025.979197881312</v>
      </c>
      <c r="R8" s="26">
        <f t="shared" si="0"/>
        <v>20912.515229194687</v>
      </c>
    </row>
    <row r="9" spans="1:18" x14ac:dyDescent="0.2">
      <c r="A9" s="7" t="s">
        <v>8</v>
      </c>
      <c r="B9" s="26">
        <f t="shared" ref="B9:R9" si="1">B30</f>
        <v>2150</v>
      </c>
      <c r="C9" s="26">
        <f t="shared" si="1"/>
        <v>2125</v>
      </c>
      <c r="D9" s="26">
        <f t="shared" si="1"/>
        <v>2725</v>
      </c>
      <c r="E9" s="26" t="str">
        <f t="shared" si="1"/>
        <v/>
      </c>
      <c r="F9" s="26" t="str">
        <f t="shared" si="1"/>
        <v/>
      </c>
      <c r="G9" s="26" t="str">
        <f t="shared" si="1"/>
        <v/>
      </c>
      <c r="H9" s="26" t="str">
        <f t="shared" si="1"/>
        <v/>
      </c>
      <c r="I9" s="26" t="str">
        <f t="shared" si="1"/>
        <v/>
      </c>
      <c r="J9" s="26" t="str">
        <f t="shared" si="1"/>
        <v/>
      </c>
      <c r="K9" s="26" t="str">
        <f t="shared" si="1"/>
        <v/>
      </c>
      <c r="L9" s="26" t="str">
        <f t="shared" si="1"/>
        <v/>
      </c>
      <c r="M9" s="26" t="str">
        <f t="shared" si="1"/>
        <v/>
      </c>
      <c r="N9" s="26" t="str">
        <f t="shared" si="1"/>
        <v/>
      </c>
      <c r="O9" s="26" t="str">
        <f t="shared" si="1"/>
        <v/>
      </c>
      <c r="P9" s="26" t="str">
        <f t="shared" si="1"/>
        <v/>
      </c>
      <c r="Q9" s="26" t="str">
        <f t="shared" si="1"/>
        <v/>
      </c>
      <c r="R9" s="26" t="str">
        <f t="shared" si="1"/>
        <v/>
      </c>
    </row>
    <row r="10" spans="1:18" x14ac:dyDescent="0.2">
      <c r="A10" s="9" t="s">
        <v>9</v>
      </c>
      <c r="B10" s="10">
        <f t="shared" ref="B10:R10" si="2">IF(OR(B8="",B9=""),"",B8+B9)</f>
        <v>5380</v>
      </c>
      <c r="C10" s="10">
        <f t="shared" si="2"/>
        <v>5775</v>
      </c>
      <c r="D10" s="10">
        <f t="shared" si="2"/>
        <v>6718</v>
      </c>
      <c r="E10" s="10" t="str">
        <f>IF(OR(E8="",E9=""),"",E8+E9)</f>
        <v/>
      </c>
      <c r="F10" s="10" t="str">
        <f t="shared" si="2"/>
        <v/>
      </c>
      <c r="G10" s="10" t="str">
        <f t="shared" si="2"/>
        <v/>
      </c>
      <c r="H10" s="10" t="str">
        <f t="shared" si="2"/>
        <v/>
      </c>
      <c r="I10" s="10" t="str">
        <f t="shared" si="2"/>
        <v/>
      </c>
      <c r="J10" s="10" t="str">
        <f t="shared" si="2"/>
        <v/>
      </c>
      <c r="K10" s="10" t="str">
        <f t="shared" si="2"/>
        <v/>
      </c>
      <c r="L10" s="10" t="str">
        <f t="shared" si="2"/>
        <v/>
      </c>
      <c r="M10" s="10" t="str">
        <f t="shared" si="2"/>
        <v/>
      </c>
      <c r="N10" s="10" t="str">
        <f t="shared" si="2"/>
        <v/>
      </c>
      <c r="O10" s="10" t="str">
        <f t="shared" si="2"/>
        <v/>
      </c>
      <c r="P10" s="10" t="str">
        <f t="shared" si="2"/>
        <v/>
      </c>
      <c r="Q10" s="10" t="str">
        <f t="shared" si="2"/>
        <v/>
      </c>
      <c r="R10" s="10" t="str">
        <f t="shared" si="2"/>
        <v/>
      </c>
    </row>
    <row r="12" spans="1:18" x14ac:dyDescent="0.2">
      <c r="A12" s="7" t="s">
        <v>10</v>
      </c>
      <c r="B12" s="29">
        <f>IFERROR(B10/Assumptions!$C$18-1,"")</f>
        <v>0.39414356050790356</v>
      </c>
      <c r="C12" s="29">
        <f>IFERROR(C10/Assumptions!$D$18-1,"")</f>
        <v>0.5718562874251496</v>
      </c>
      <c r="D12" s="29">
        <f>IFERROR(D10/Assumptions!$E$18-1,"")</f>
        <v>1.0734567901234566</v>
      </c>
      <c r="E12" s="29" t="str">
        <f>IFERROR(E10/Assumptions!$B$17-1,"")</f>
        <v/>
      </c>
      <c r="F12" s="29" t="str">
        <f>IFERROR(F10/B10-1,"")</f>
        <v/>
      </c>
      <c r="G12" s="29" t="str">
        <f>IFERROR(G10/Assumptions!$B$24-1,"")</f>
        <v/>
      </c>
      <c r="H12" s="29" t="str">
        <f t="shared" ref="H12:Q12" si="3">IFERROR(H10/C10-1,"")</f>
        <v/>
      </c>
      <c r="I12" s="29" t="str">
        <f t="shared" si="3"/>
        <v/>
      </c>
      <c r="J12" s="29" t="str">
        <f t="shared" si="3"/>
        <v/>
      </c>
      <c r="K12" s="29" t="str">
        <f t="shared" si="3"/>
        <v/>
      </c>
      <c r="L12" s="29" t="str">
        <f t="shared" si="3"/>
        <v/>
      </c>
      <c r="M12" s="29" t="str">
        <f t="shared" si="3"/>
        <v/>
      </c>
      <c r="N12" s="29" t="str">
        <f t="shared" si="3"/>
        <v/>
      </c>
      <c r="O12" s="29" t="str">
        <f t="shared" si="3"/>
        <v/>
      </c>
      <c r="P12" s="29" t="str">
        <f t="shared" si="3"/>
        <v/>
      </c>
      <c r="Q12" s="29" t="str">
        <f t="shared" si="3"/>
        <v/>
      </c>
      <c r="R12" s="29" t="str">
        <f>IFERROR(R10/Assumptions!$F$17-1,"")</f>
        <v/>
      </c>
    </row>
    <row r="13" spans="1:18" x14ac:dyDescent="0.2">
      <c r="A13" s="7" t="s">
        <v>11</v>
      </c>
      <c r="B13" s="29">
        <f>IFERROR(B10/Assumptions!$B$17-1,"")</f>
        <v>0.23934577286339542</v>
      </c>
      <c r="C13" s="29">
        <f>IFERROR(C10/B10-1,"")</f>
        <v>7.3420074349442421E-2</v>
      </c>
      <c r="D13" s="29">
        <f>IFERROR(D10/C10-1,"")</f>
        <v>0.16329004329004326</v>
      </c>
      <c r="E13" s="29" t="str">
        <f>IFERROR(E10/D10-1,"")</f>
        <v/>
      </c>
      <c r="F13" s="29" t="str">
        <f>IFERROR(F10/E10-1,"")</f>
        <v/>
      </c>
      <c r="G13" s="23" t="s">
        <v>12</v>
      </c>
      <c r="H13" s="29" t="str">
        <f>IFERROR(H10/F10-1,"")</f>
        <v/>
      </c>
      <c r="I13" s="29" t="str">
        <f>IFERROR(I10/H10-1,"")</f>
        <v/>
      </c>
      <c r="J13" s="29" t="str">
        <f>IFERROR(J10/I10-1,"")</f>
        <v/>
      </c>
      <c r="K13" s="29" t="str">
        <f>IFERROR(K10/J10-1,"")</f>
        <v/>
      </c>
      <c r="L13" s="23" t="s">
        <v>12</v>
      </c>
      <c r="M13" s="29" t="str">
        <f>IFERROR(M10/K10-1,"")</f>
        <v/>
      </c>
      <c r="N13" s="29" t="str">
        <f>IFERROR(N10/M10-1,"")</f>
        <v/>
      </c>
      <c r="O13" s="29" t="str">
        <f>IFERROR(O10/N10-1,"")</f>
        <v/>
      </c>
      <c r="P13" s="29" t="str">
        <f>IFERROR(P10/O10-1,"")</f>
        <v/>
      </c>
      <c r="Q13" s="23" t="s">
        <v>12</v>
      </c>
      <c r="R13" s="23" t="s">
        <v>12</v>
      </c>
    </row>
    <row r="14" spans="1:18" x14ac:dyDescent="0.2">
      <c r="A14" s="7" t="s">
        <v>13</v>
      </c>
      <c r="B14" s="29">
        <f t="shared" ref="B14:R14" si="4">IFERROR(B9/B10,"")</f>
        <v>0.3996282527881041</v>
      </c>
      <c r="C14" s="29">
        <f t="shared" si="4"/>
        <v>0.36796536796536794</v>
      </c>
      <c r="D14" s="29">
        <f t="shared" si="4"/>
        <v>0.40562667460553736</v>
      </c>
      <c r="E14" s="29" t="str">
        <f t="shared" si="4"/>
        <v/>
      </c>
      <c r="F14" s="29" t="str">
        <f t="shared" si="4"/>
        <v/>
      </c>
      <c r="G14" s="29" t="str">
        <f t="shared" si="4"/>
        <v/>
      </c>
      <c r="H14" s="29" t="str">
        <f t="shared" si="4"/>
        <v/>
      </c>
      <c r="I14" s="29" t="str">
        <f t="shared" si="4"/>
        <v/>
      </c>
      <c r="J14" s="29" t="str">
        <f t="shared" si="4"/>
        <v/>
      </c>
      <c r="K14" s="29" t="str">
        <f t="shared" si="4"/>
        <v/>
      </c>
      <c r="L14" s="29" t="str">
        <f t="shared" si="4"/>
        <v/>
      </c>
      <c r="M14" s="29" t="str">
        <f t="shared" si="4"/>
        <v/>
      </c>
      <c r="N14" s="29" t="str">
        <f t="shared" si="4"/>
        <v/>
      </c>
      <c r="O14" s="29" t="str">
        <f t="shared" si="4"/>
        <v/>
      </c>
      <c r="P14" s="29" t="str">
        <f t="shared" si="4"/>
        <v/>
      </c>
      <c r="Q14" s="29" t="str">
        <f t="shared" si="4"/>
        <v/>
      </c>
      <c r="R14" s="29" t="str">
        <f t="shared" si="4"/>
        <v/>
      </c>
    </row>
    <row r="16" spans="1:18" ht="17" customHeight="1" x14ac:dyDescent="0.2">
      <c r="A16" s="3" t="s">
        <v>14</v>
      </c>
      <c r="B16" s="4"/>
      <c r="C16" s="4"/>
      <c r="D16" s="4"/>
      <c r="E16" s="4"/>
      <c r="F16" s="4"/>
      <c r="G16" s="4"/>
      <c r="H16" s="4"/>
      <c r="I16" s="4"/>
      <c r="J16" s="4"/>
      <c r="K16" s="4"/>
      <c r="L16" s="4"/>
      <c r="M16" s="4"/>
      <c r="N16" s="4"/>
      <c r="O16" s="4"/>
      <c r="P16" s="4"/>
      <c r="Q16" s="4"/>
      <c r="R16" s="4"/>
    </row>
    <row r="17" spans="1:18" ht="15" customHeight="1" x14ac:dyDescent="0.2">
      <c r="A17" s="5" t="s">
        <v>6</v>
      </c>
      <c r="B17" s="6" t="str">
        <f>Assumptions!B$8</f>
        <v>Q4'25A</v>
      </c>
      <c r="C17" s="6" t="str">
        <f>Assumptions!C$8</f>
        <v>Q1'26A</v>
      </c>
      <c r="D17" s="6" t="str">
        <f>Assumptions!D$8</f>
        <v>Q2'26A</v>
      </c>
      <c r="E17" s="6" t="str">
        <f>Assumptions!E$8</f>
        <v>Q3'26E</v>
      </c>
      <c r="F17" s="6" t="str">
        <f>Assumptions!F$8</f>
        <v>Q4'26E</v>
      </c>
      <c r="G17" s="6" t="str">
        <f>Assumptions!G$8</f>
        <v>FY26E</v>
      </c>
      <c r="H17" s="6" t="str">
        <f>Assumptions!H$8</f>
        <v>Q1'27E</v>
      </c>
      <c r="I17" s="6" t="str">
        <f>Assumptions!I$8</f>
        <v>Q2'27E</v>
      </c>
      <c r="J17" s="6" t="str">
        <f>Assumptions!J$8</f>
        <v>Q3'27E</v>
      </c>
      <c r="K17" s="6" t="str">
        <f>Assumptions!K$8</f>
        <v>Q4'27E</v>
      </c>
      <c r="L17" s="6" t="str">
        <f>Assumptions!L$8</f>
        <v>FY27E</v>
      </c>
      <c r="M17" s="6" t="str">
        <f>Assumptions!M$8</f>
        <v>Q1'28E</v>
      </c>
      <c r="N17" s="6" t="str">
        <f>Assumptions!N$8</f>
        <v>Q2'28E</v>
      </c>
      <c r="O17" s="6" t="str">
        <f>Assumptions!O$8</f>
        <v>Q3'28E</v>
      </c>
      <c r="P17" s="6" t="str">
        <f>Assumptions!P$8</f>
        <v>Q4'28E</v>
      </c>
      <c r="Q17" s="6" t="str">
        <f>Assumptions!Q$8</f>
        <v>FY28E</v>
      </c>
      <c r="R17" s="6" t="str">
        <f>Assumptions!R$8</f>
        <v>NTM E</v>
      </c>
    </row>
    <row r="18" spans="1:18" x14ac:dyDescent="0.2">
      <c r="A18" s="7" t="s">
        <v>15</v>
      </c>
      <c r="B18" s="23" t="s">
        <v>12</v>
      </c>
      <c r="C18" s="23" t="s">
        <v>12</v>
      </c>
      <c r="D18" s="23" t="s">
        <v>12</v>
      </c>
      <c r="E18" s="35">
        <f>Assumptions!E$11</f>
        <v>0</v>
      </c>
      <c r="F18" s="35">
        <f>Assumptions!F$11</f>
        <v>1</v>
      </c>
      <c r="G18" s="23" t="s">
        <v>12</v>
      </c>
      <c r="H18" s="35">
        <f>Assumptions!H$11</f>
        <v>2</v>
      </c>
      <c r="I18" s="35">
        <f>Assumptions!I$11</f>
        <v>3</v>
      </c>
      <c r="J18" s="35">
        <f>Assumptions!J$11</f>
        <v>4</v>
      </c>
      <c r="K18" s="35">
        <f>Assumptions!K$11</f>
        <v>5</v>
      </c>
      <c r="L18" s="23" t="s">
        <v>12</v>
      </c>
      <c r="M18" s="35">
        <f>Assumptions!M$11</f>
        <v>6</v>
      </c>
      <c r="N18" s="35">
        <f>Assumptions!N$11</f>
        <v>7</v>
      </c>
      <c r="O18" s="35">
        <f>Assumptions!O$11</f>
        <v>8</v>
      </c>
      <c r="P18" s="35">
        <f>Assumptions!P$11</f>
        <v>9</v>
      </c>
      <c r="Q18" s="23" t="s">
        <v>12</v>
      </c>
      <c r="R18" s="23" t="s">
        <v>12</v>
      </c>
    </row>
    <row r="19" spans="1:18" x14ac:dyDescent="0.2">
      <c r="A19" s="7" t="s">
        <v>16</v>
      </c>
      <c r="B19" s="23" t="s">
        <v>12</v>
      </c>
      <c r="C19" s="23" t="s">
        <v>12</v>
      </c>
      <c r="D19" s="23" t="s">
        <v>12</v>
      </c>
      <c r="E19" s="29">
        <f>IF(E18="","",Assumptions!$E$28+(Assumptions!$E$29-Assumptions!$E$28)*E18/Assumptions!$Q$11)</f>
        <v>0.38</v>
      </c>
      <c r="F19" s="29">
        <f>IF(F18="","",Assumptions!$E$28+(Assumptions!$E$29-Assumptions!$E$28)*F18/Assumptions!$Q$11)</f>
        <v>0.35599999999999998</v>
      </c>
      <c r="G19" s="23" t="s">
        <v>12</v>
      </c>
      <c r="H19" s="29">
        <f>IF(H18="","",Assumptions!$E$28+(Assumptions!$E$29-Assumptions!$E$28)*H18/Assumptions!$Q$11)</f>
        <v>0.33200000000000002</v>
      </c>
      <c r="I19" s="29">
        <f>IF(I18="","",Assumptions!$E$28+(Assumptions!$E$29-Assumptions!$E$28)*I18/Assumptions!$Q$11)</f>
        <v>0.308</v>
      </c>
      <c r="J19" s="29">
        <f>IF(J18="","",Assumptions!$E$28+(Assumptions!$E$29-Assumptions!$E$28)*J18/Assumptions!$Q$11)</f>
        <v>0.28400000000000003</v>
      </c>
      <c r="K19" s="29">
        <f>IF(K18="","",Assumptions!$E$28+(Assumptions!$E$29-Assumptions!$E$28)*K18/Assumptions!$Q$11)</f>
        <v>0.26</v>
      </c>
      <c r="L19" s="23" t="s">
        <v>12</v>
      </c>
      <c r="M19" s="29">
        <f>IF(M18="","",Assumptions!$E$28+(Assumptions!$E$29-Assumptions!$E$28)*M18/Assumptions!$Q$11)</f>
        <v>0.23599999999999999</v>
      </c>
      <c r="N19" s="29">
        <f>IF(N18="","",Assumptions!$E$28+(Assumptions!$E$29-Assumptions!$E$28)*N18/Assumptions!$Q$11)</f>
        <v>0.21199999999999999</v>
      </c>
      <c r="O19" s="29">
        <f>IF(O18="","",Assumptions!$E$28+(Assumptions!$E$29-Assumptions!$E$28)*O18/Assumptions!$Q$11)</f>
        <v>0.188</v>
      </c>
      <c r="P19" s="29">
        <f>IF(P18="","",Assumptions!$E$28+(Assumptions!$E$29-Assumptions!$E$28)*P18/Assumptions!$Q$11)</f>
        <v>0.16400000000000001</v>
      </c>
      <c r="Q19" s="23" t="s">
        <v>12</v>
      </c>
      <c r="R19" s="23" t="s">
        <v>12</v>
      </c>
    </row>
    <row r="20" spans="1:18" x14ac:dyDescent="0.2">
      <c r="A20" s="7" t="s">
        <v>17</v>
      </c>
      <c r="B20" s="36">
        <f>Assumptions!$C$22</f>
        <v>0.41299999999999998</v>
      </c>
      <c r="C20" s="36">
        <f>Assumptions!$D$22</f>
        <v>0.46200000000000002</v>
      </c>
      <c r="D20" s="36">
        <f>Assumptions!$E$22</f>
        <v>0.49</v>
      </c>
      <c r="E20" s="29">
        <f>IF(E18="","",Assumptions!$E$30+Assumptions!$E$31*E18)</f>
        <v>0.5</v>
      </c>
      <c r="F20" s="29">
        <f>IF(F18="","",Assumptions!$E$30+Assumptions!$E$31*F18)</f>
        <v>0.505</v>
      </c>
      <c r="G20" s="23" t="s">
        <v>12</v>
      </c>
      <c r="H20" s="29">
        <f>IF(H18="","",Assumptions!$E$30+Assumptions!$E$31*H18)</f>
        <v>0.51</v>
      </c>
      <c r="I20" s="29">
        <f>IF(I18="","",Assumptions!$E$30+Assumptions!$E$31*I18)</f>
        <v>0.51500000000000001</v>
      </c>
      <c r="J20" s="29">
        <f>IF(J18="","",Assumptions!$E$30+Assumptions!$E$31*J18)</f>
        <v>0.52</v>
      </c>
      <c r="K20" s="29">
        <f>IF(K18="","",Assumptions!$E$30+Assumptions!$E$31*K18)</f>
        <v>0.52500000000000002</v>
      </c>
      <c r="L20" s="23" t="s">
        <v>12</v>
      </c>
      <c r="M20" s="29">
        <f>IF(M18="","",Assumptions!$E$30+Assumptions!$E$31*M18)</f>
        <v>0.53</v>
      </c>
      <c r="N20" s="29">
        <f>IF(N18="","",Assumptions!$E$30+Assumptions!$E$31*N18)</f>
        <v>0.53500000000000003</v>
      </c>
      <c r="O20" s="29">
        <f>IF(O18="","",Assumptions!$E$30+Assumptions!$E$31*O18)</f>
        <v>0.54</v>
      </c>
      <c r="P20" s="29">
        <f>IF(P18="","",Assumptions!$E$30+Assumptions!$E$31*P18)</f>
        <v>0.54500000000000004</v>
      </c>
      <c r="Q20" s="23" t="s">
        <v>12</v>
      </c>
      <c r="R20" s="23" t="s">
        <v>12</v>
      </c>
    </row>
    <row r="21" spans="1:18" x14ac:dyDescent="0.2">
      <c r="A21" s="7" t="s">
        <v>18</v>
      </c>
      <c r="B21" s="23" t="s">
        <v>12</v>
      </c>
      <c r="C21" s="23" t="s">
        <v>12</v>
      </c>
      <c r="D21" s="23" t="s">
        <v>12</v>
      </c>
      <c r="E21" s="36">
        <f>Assumptions!$B$22</f>
        <v>0.39500000000000002</v>
      </c>
      <c r="F21" s="29">
        <f>B20</f>
        <v>0.41299999999999998</v>
      </c>
      <c r="G21" s="23" t="s">
        <v>12</v>
      </c>
      <c r="H21" s="29">
        <f>C20</f>
        <v>0.46200000000000002</v>
      </c>
      <c r="I21" s="29">
        <f>D20</f>
        <v>0.49</v>
      </c>
      <c r="J21" s="29">
        <f>E20</f>
        <v>0.5</v>
      </c>
      <c r="K21" s="29">
        <f>F20</f>
        <v>0.505</v>
      </c>
      <c r="L21" s="23" t="s">
        <v>12</v>
      </c>
      <c r="M21" s="29">
        <f>H20</f>
        <v>0.51</v>
      </c>
      <c r="N21" s="29">
        <f>I20</f>
        <v>0.51500000000000001</v>
      </c>
      <c r="O21" s="29">
        <f>J20</f>
        <v>0.52</v>
      </c>
      <c r="P21" s="29">
        <f>K20</f>
        <v>0.52500000000000002</v>
      </c>
      <c r="Q21" s="23" t="s">
        <v>12</v>
      </c>
      <c r="R21" s="23" t="s">
        <v>12</v>
      </c>
    </row>
    <row r="22" spans="1:18" x14ac:dyDescent="0.2">
      <c r="A22" s="7" t="s">
        <v>19</v>
      </c>
      <c r="B22" s="23" t="s">
        <v>12</v>
      </c>
      <c r="C22" s="23" t="s">
        <v>12</v>
      </c>
      <c r="D22" s="23" t="s">
        <v>12</v>
      </c>
      <c r="E22" s="8">
        <f>Assumptions!$B$19</f>
        <v>2691</v>
      </c>
      <c r="F22" s="26">
        <f>B24</f>
        <v>3230</v>
      </c>
      <c r="G22" s="23" t="s">
        <v>12</v>
      </c>
      <c r="H22" s="26">
        <f>C24</f>
        <v>3650</v>
      </c>
      <c r="I22" s="26">
        <f>D24</f>
        <v>3993</v>
      </c>
      <c r="J22" s="26">
        <f>E24</f>
        <v>4700.7341772151894</v>
      </c>
      <c r="K22" s="26">
        <f>F24</f>
        <v>5355.5433414043582</v>
      </c>
      <c r="L22" s="23" t="s">
        <v>12</v>
      </c>
      <c r="M22" s="26">
        <f>H24</f>
        <v>5366.9220779220777</v>
      </c>
      <c r="N22" s="26">
        <f>I24</f>
        <v>5489.3156326530616</v>
      </c>
      <c r="O22" s="26">
        <f>J24</f>
        <v>6277.1723908860758</v>
      </c>
      <c r="P22" s="26">
        <f>K24</f>
        <v>7015.2315254237292</v>
      </c>
      <c r="Q22" s="23" t="s">
        <v>12</v>
      </c>
      <c r="R22" s="23" t="s">
        <v>12</v>
      </c>
    </row>
    <row r="23" spans="1:18" x14ac:dyDescent="0.2">
      <c r="A23" s="7" t="s">
        <v>20</v>
      </c>
      <c r="B23" s="23" t="s">
        <v>12</v>
      </c>
      <c r="C23" s="23" t="s">
        <v>12</v>
      </c>
      <c r="D23" s="23" t="s">
        <v>12</v>
      </c>
      <c r="E23" s="37">
        <f>IF(OR(E19="",E20="",E21=""),"",(1+E19)*E20/E21)</f>
        <v>1.7468354430379744</v>
      </c>
      <c r="F23" s="37">
        <f>IF(OR(F19="",F20="",F21=""),"",(1+F19)*F20/F21)</f>
        <v>1.6580629539951572</v>
      </c>
      <c r="G23" s="23" t="s">
        <v>12</v>
      </c>
      <c r="H23" s="37">
        <f>IF(OR(H19="",H20="",H21=""),"",(1+H19)*H20/H21)</f>
        <v>1.4703896103896104</v>
      </c>
      <c r="I23" s="37">
        <f>IF(OR(I19="",I20="",I21=""),"",(1+I19)*I20/I21)</f>
        <v>1.3747346938775511</v>
      </c>
      <c r="J23" s="37">
        <f>IF(OR(J19="",J20="",J21=""),"",(1+J19)*J20/J21)</f>
        <v>1.3353600000000001</v>
      </c>
      <c r="K23" s="37">
        <f>IF(OR(K19="",K20="",K21=""),"",(1+K19)*K20/K21)</f>
        <v>1.30990099009901</v>
      </c>
      <c r="L23" s="23" t="s">
        <v>12</v>
      </c>
      <c r="M23" s="37">
        <f>IF(OR(M19="",M20="",M21=""),"",(1+M19)*M20/M21)</f>
        <v>1.284470588235294</v>
      </c>
      <c r="N23" s="37">
        <f>IF(OR(N19="",N20="",N21=""),"",(1+N19)*N20/N21)</f>
        <v>1.2590679611650486</v>
      </c>
      <c r="O23" s="37">
        <f>IF(OR(O19="",O20="",O21=""),"",(1+O19)*O20/O21)</f>
        <v>1.2336923076923076</v>
      </c>
      <c r="P23" s="37">
        <f>IF(OR(P19="",P20="",P21=""),"",(1+P19)*P20/P21)</f>
        <v>1.2083428571428572</v>
      </c>
      <c r="Q23" s="23" t="s">
        <v>12</v>
      </c>
      <c r="R23" s="23" t="s">
        <v>12</v>
      </c>
    </row>
    <row r="24" spans="1:18" x14ac:dyDescent="0.2">
      <c r="A24" s="9" t="s">
        <v>21</v>
      </c>
      <c r="B24" s="8">
        <f>Assumptions!$C$19</f>
        <v>3230</v>
      </c>
      <c r="C24" s="8">
        <f>Assumptions!$D$19</f>
        <v>3650</v>
      </c>
      <c r="D24" s="8">
        <f>Assumptions!$E$19</f>
        <v>3993</v>
      </c>
      <c r="E24" s="10">
        <f>IF(OR(E22="",E23=""),"",E22*E23)</f>
        <v>4700.7341772151894</v>
      </c>
      <c r="F24" s="10">
        <f>IF(OR(F22="",F23=""),"",F22*F23)</f>
        <v>5355.5433414043582</v>
      </c>
      <c r="G24" s="10">
        <f>IF(COUNT(C24:F24)&lt;4,"",SUM(C24:F24))</f>
        <v>17699.277518619547</v>
      </c>
      <c r="H24" s="10">
        <f>IF(OR(H22="",H23=""),"",H22*H23)</f>
        <v>5366.9220779220777</v>
      </c>
      <c r="I24" s="10">
        <f>IF(OR(I22="",I23=""),"",I22*I23)</f>
        <v>5489.3156326530616</v>
      </c>
      <c r="J24" s="10">
        <f>IF(OR(J22="",J23=""),"",J22*J23)</f>
        <v>6277.1723908860758</v>
      </c>
      <c r="K24" s="10">
        <f>IF(OR(K22="",K23=""),"",K22*K23)</f>
        <v>7015.2315254237292</v>
      </c>
      <c r="L24" s="10">
        <f>IF(COUNT(H24:K24)&lt;4,"",SUM(H24:K24))</f>
        <v>24148.641626884946</v>
      </c>
      <c r="M24" s="10">
        <f>IF(OR(M22="",M23=""),"",M22*M23)</f>
        <v>6893.6535584415578</v>
      </c>
      <c r="N24" s="10">
        <f>IF(OR(N22="",N23=""),"",N22*N23)</f>
        <v>6911.4214417959192</v>
      </c>
      <c r="O24" s="10">
        <f>IF(OR(O22="",O23=""),"",O22*O23)</f>
        <v>7744.0992926946828</v>
      </c>
      <c r="P24" s="10">
        <f>IF(OR(P22="",P23=""),"",P22*P23)</f>
        <v>8476.8049049491528</v>
      </c>
      <c r="Q24" s="10">
        <f>IF(COUNT(M24:P24)&lt;4,"",SUM(M24:P24))</f>
        <v>30025.979197881312</v>
      </c>
      <c r="R24" s="10">
        <f>IF(COUNT(E24,F24,H24,I24)&lt;4,"",SUM(E24,F24,H24,I24))</f>
        <v>20912.515229194687</v>
      </c>
    </row>
    <row r="26" spans="1:18" ht="17" customHeight="1" x14ac:dyDescent="0.2">
      <c r="A26" s="3" t="s">
        <v>22</v>
      </c>
      <c r="B26" s="4"/>
      <c r="C26" s="4"/>
      <c r="D26" s="4"/>
      <c r="E26" s="4"/>
      <c r="F26" s="4"/>
      <c r="G26" s="4"/>
      <c r="H26" s="4"/>
      <c r="I26" s="4"/>
      <c r="J26" s="4"/>
      <c r="K26" s="4"/>
      <c r="L26" s="4"/>
      <c r="M26" s="4"/>
      <c r="N26" s="4"/>
      <c r="O26" s="4"/>
      <c r="P26" s="4"/>
      <c r="Q26" s="4"/>
      <c r="R26" s="4"/>
    </row>
    <row r="27" spans="1:18" ht="15" customHeight="1" x14ac:dyDescent="0.2">
      <c r="A27" s="5" t="s">
        <v>6</v>
      </c>
      <c r="B27" s="6" t="str">
        <f>Assumptions!B$8</f>
        <v>Q4'25A</v>
      </c>
      <c r="C27" s="6" t="str">
        <f>Assumptions!C$8</f>
        <v>Q1'26A</v>
      </c>
      <c r="D27" s="6" t="str">
        <f>Assumptions!D$8</f>
        <v>Q2'26A</v>
      </c>
      <c r="E27" s="6" t="str">
        <f>Assumptions!E$8</f>
        <v>Q3'26E</v>
      </c>
      <c r="F27" s="6" t="str">
        <f>Assumptions!F$8</f>
        <v>Q4'26E</v>
      </c>
      <c r="G27" s="6" t="str">
        <f>Assumptions!G$8</f>
        <v>FY26E</v>
      </c>
      <c r="H27" s="6" t="str">
        <f>Assumptions!H$8</f>
        <v>Q1'27E</v>
      </c>
      <c r="I27" s="6" t="str">
        <f>Assumptions!I$8</f>
        <v>Q2'27E</v>
      </c>
      <c r="J27" s="6" t="str">
        <f>Assumptions!J$8</f>
        <v>Q3'27E</v>
      </c>
      <c r="K27" s="6" t="str">
        <f>Assumptions!K$8</f>
        <v>Q4'27E</v>
      </c>
      <c r="L27" s="6" t="str">
        <f>Assumptions!L$8</f>
        <v>FY27E</v>
      </c>
      <c r="M27" s="6" t="str">
        <f>Assumptions!M$8</f>
        <v>Q1'28E</v>
      </c>
      <c r="N27" s="6" t="str">
        <f>Assumptions!N$8</f>
        <v>Q2'28E</v>
      </c>
      <c r="O27" s="6" t="str">
        <f>Assumptions!O$8</f>
        <v>Q3'28E</v>
      </c>
      <c r="P27" s="6" t="str">
        <f>Assumptions!P$8</f>
        <v>Q4'28E</v>
      </c>
      <c r="Q27" s="6" t="str">
        <f>Assumptions!Q$8</f>
        <v>FY28E</v>
      </c>
      <c r="R27" s="6" t="str">
        <f>Assumptions!R$8</f>
        <v>NTM E</v>
      </c>
    </row>
    <row r="28" spans="1:18" x14ac:dyDescent="0.2">
      <c r="A28" s="7" t="s">
        <v>23</v>
      </c>
      <c r="B28" s="23" t="s">
        <v>12</v>
      </c>
      <c r="C28" s="23" t="s">
        <v>12</v>
      </c>
      <c r="D28" s="23" t="s">
        <v>12</v>
      </c>
      <c r="E28" s="29" t="str">
        <f>IF(OR(E18="",Assumptions!$E$35="",Assumptions!$E$36=""),"",Assumptions!$E$35+(Assumptions!$E$36-Assumptions!$E$35)*E18/Assumptions!$Q$11)</f>
        <v/>
      </c>
      <c r="F28" s="29" t="str">
        <f>IF(OR(F18="",Assumptions!$E$35="",Assumptions!$E$36=""),"",Assumptions!$E$35+(Assumptions!$E$36-Assumptions!$E$35)*F18/Assumptions!$Q$11)</f>
        <v/>
      </c>
      <c r="G28" s="23" t="s">
        <v>12</v>
      </c>
      <c r="H28" s="29" t="str">
        <f>IF(OR(H18="",Assumptions!$E$35="",Assumptions!$E$36=""),"",Assumptions!$E$35+(Assumptions!$E$36-Assumptions!$E$35)*H18/Assumptions!$Q$11)</f>
        <v/>
      </c>
      <c r="I28" s="29" t="str">
        <f>IF(OR(I18="",Assumptions!$E$35="",Assumptions!$E$36=""),"",Assumptions!$E$35+(Assumptions!$E$36-Assumptions!$E$35)*I18/Assumptions!$Q$11)</f>
        <v/>
      </c>
      <c r="J28" s="29" t="str">
        <f>IF(OR(J18="",Assumptions!$E$35="",Assumptions!$E$36=""),"",Assumptions!$E$35+(Assumptions!$E$36-Assumptions!$E$35)*J18/Assumptions!$Q$11)</f>
        <v/>
      </c>
      <c r="K28" s="29" t="str">
        <f>IF(OR(K18="",Assumptions!$E$35="",Assumptions!$E$36=""),"",Assumptions!$E$35+(Assumptions!$E$36-Assumptions!$E$35)*K18/Assumptions!$Q$11)</f>
        <v/>
      </c>
      <c r="L28" s="23" t="s">
        <v>12</v>
      </c>
      <c r="M28" s="29" t="str">
        <f>IF(OR(M18="",Assumptions!$E$35="",Assumptions!$E$36=""),"",Assumptions!$E$35+(Assumptions!$E$36-Assumptions!$E$35)*M18/Assumptions!$Q$11)</f>
        <v/>
      </c>
      <c r="N28" s="29" t="str">
        <f>IF(OR(N18="",Assumptions!$E$35="",Assumptions!$E$36=""),"",Assumptions!$E$35+(Assumptions!$E$36-Assumptions!$E$35)*N18/Assumptions!$Q$11)</f>
        <v/>
      </c>
      <c r="O28" s="29" t="str">
        <f>IF(OR(O18="",Assumptions!$E$35="",Assumptions!$E$36=""),"",Assumptions!$E$35+(Assumptions!$E$36-Assumptions!$E$35)*O18/Assumptions!$Q$11)</f>
        <v/>
      </c>
      <c r="P28" s="29" t="str">
        <f>IF(OR(P18="",Assumptions!$E$35="",Assumptions!$E$36=""),"",Assumptions!$E$35+(Assumptions!$E$36-Assumptions!$E$35)*P18/Assumptions!$Q$11)</f>
        <v/>
      </c>
      <c r="Q28" s="23" t="s">
        <v>12</v>
      </c>
      <c r="R28" s="23" t="s">
        <v>12</v>
      </c>
    </row>
    <row r="29" spans="1:18" x14ac:dyDescent="0.2">
      <c r="A29" s="7" t="s">
        <v>24</v>
      </c>
      <c r="B29" s="23" t="s">
        <v>12</v>
      </c>
      <c r="C29" s="23" t="s">
        <v>12</v>
      </c>
      <c r="D29" s="23" t="s">
        <v>12</v>
      </c>
      <c r="E29" s="26">
        <f>D30</f>
        <v>2725</v>
      </c>
      <c r="F29" s="26" t="str">
        <f>E30</f>
        <v/>
      </c>
      <c r="G29" s="23" t="s">
        <v>12</v>
      </c>
      <c r="H29" s="26" t="str">
        <f>F30</f>
        <v/>
      </c>
      <c r="I29" s="26" t="str">
        <f>H30</f>
        <v/>
      </c>
      <c r="J29" s="26" t="str">
        <f>I30</f>
        <v/>
      </c>
      <c r="K29" s="26" t="str">
        <f>J30</f>
        <v/>
      </c>
      <c r="L29" s="23" t="s">
        <v>12</v>
      </c>
      <c r="M29" s="26" t="str">
        <f>K30</f>
        <v/>
      </c>
      <c r="N29" s="26" t="str">
        <f>M30</f>
        <v/>
      </c>
      <c r="O29" s="26" t="str">
        <f>N30</f>
        <v/>
      </c>
      <c r="P29" s="26" t="str">
        <f>O30</f>
        <v/>
      </c>
      <c r="Q29" s="23" t="s">
        <v>12</v>
      </c>
      <c r="R29" s="23" t="s">
        <v>12</v>
      </c>
    </row>
    <row r="30" spans="1:18" x14ac:dyDescent="0.2">
      <c r="A30" s="9" t="s">
        <v>25</v>
      </c>
      <c r="B30" s="8">
        <f>Assumptions!$C$20</f>
        <v>2150</v>
      </c>
      <c r="C30" s="8">
        <f>Assumptions!$D$20</f>
        <v>2125</v>
      </c>
      <c r="D30" s="8">
        <f>Assumptions!$E$20</f>
        <v>2725</v>
      </c>
      <c r="E30" s="10" t="str">
        <f>IF(OR(E29="",E28=""),"",E29*(1+E28))</f>
        <v/>
      </c>
      <c r="F30" s="10" t="str">
        <f>IF(OR(F29="",F28=""),"",F29*(1+F28))</f>
        <v/>
      </c>
      <c r="G30" s="10" t="str">
        <f>IF(COUNT(C30:F30)&lt;4,"",SUM(C30:F30))</f>
        <v/>
      </c>
      <c r="H30" s="10" t="str">
        <f>IF(OR(H29="",H28=""),"",H29*(1+H28))</f>
        <v/>
      </c>
      <c r="I30" s="10" t="str">
        <f>IF(OR(I29="",I28=""),"",I29*(1+I28))</f>
        <v/>
      </c>
      <c r="J30" s="10" t="str">
        <f>IF(OR(J29="",J28=""),"",J29*(1+J28))</f>
        <v/>
      </c>
      <c r="K30" s="10" t="str">
        <f>IF(OR(K29="",K28=""),"",K29*(1+K28))</f>
        <v/>
      </c>
      <c r="L30" s="10" t="str">
        <f>IF(COUNT(H30:K30)&lt;4,"",SUM(H30:K30))</f>
        <v/>
      </c>
      <c r="M30" s="10" t="str">
        <f>IF(OR(M29="",M28=""),"",M29*(1+M28))</f>
        <v/>
      </c>
      <c r="N30" s="10" t="str">
        <f>IF(OR(N29="",N28=""),"",N29*(1+N28))</f>
        <v/>
      </c>
      <c r="O30" s="10" t="str">
        <f>IF(OR(O29="",O28=""),"",O29*(1+O28))</f>
        <v/>
      </c>
      <c r="P30" s="10" t="str">
        <f>IF(OR(P29="",P28=""),"",P29*(1+P28))</f>
        <v/>
      </c>
      <c r="Q30" s="10" t="str">
        <f>IF(COUNT(M30:P30)&lt;4,"",SUM(M30:P30))</f>
        <v/>
      </c>
      <c r="R30" s="10" t="str">
        <f>IF(COUNT(E30,F30,H30,I30)&lt;4,"",SUM(E30,F30,H30,I30))</f>
        <v/>
      </c>
    </row>
    <row r="32" spans="1:18" ht="17" customHeight="1" x14ac:dyDescent="0.2">
      <c r="A32" s="3" t="s">
        <v>26</v>
      </c>
      <c r="B32" s="4"/>
      <c r="C32" s="4"/>
      <c r="D32" s="4"/>
      <c r="E32" s="4"/>
      <c r="F32" s="4"/>
      <c r="G32" s="4"/>
      <c r="H32" s="4"/>
      <c r="I32" s="4"/>
      <c r="J32" s="4"/>
      <c r="K32" s="4"/>
      <c r="L32" s="4"/>
      <c r="M32" s="4"/>
      <c r="N32" s="4"/>
      <c r="O32" s="4"/>
      <c r="P32" s="4"/>
      <c r="Q32" s="4"/>
      <c r="R32" s="4"/>
    </row>
    <row r="33" spans="1:18" ht="30" customHeight="1" x14ac:dyDescent="0.2">
      <c r="A33" s="38" t="s">
        <v>27</v>
      </c>
      <c r="B33" s="42" t="s">
        <v>28</v>
      </c>
      <c r="C33" s="43"/>
      <c r="D33" s="43"/>
      <c r="E33" s="43"/>
      <c r="F33" s="43"/>
      <c r="G33" s="43"/>
      <c r="H33" s="43"/>
      <c r="I33" s="43"/>
      <c r="J33" s="43"/>
      <c r="K33" s="43"/>
      <c r="L33" s="43"/>
      <c r="M33" s="43"/>
      <c r="N33" s="43"/>
      <c r="O33" s="43"/>
      <c r="P33" s="43"/>
      <c r="Q33" s="43"/>
      <c r="R33" s="43"/>
    </row>
    <row r="34" spans="1:18" ht="30" customHeight="1" x14ac:dyDescent="0.2">
      <c r="A34" s="38" t="s">
        <v>29</v>
      </c>
      <c r="B34" s="42" t="s">
        <v>30</v>
      </c>
      <c r="C34" s="43"/>
      <c r="D34" s="43"/>
      <c r="E34" s="43"/>
      <c r="F34" s="43"/>
      <c r="G34" s="43"/>
      <c r="H34" s="43"/>
      <c r="I34" s="43"/>
      <c r="J34" s="43"/>
      <c r="K34" s="43"/>
      <c r="L34" s="43"/>
      <c r="M34" s="43"/>
      <c r="N34" s="43"/>
      <c r="O34" s="43"/>
      <c r="P34" s="43"/>
      <c r="Q34" s="43"/>
      <c r="R34" s="43"/>
    </row>
    <row r="35" spans="1:18" ht="46" customHeight="1" x14ac:dyDescent="0.2">
      <c r="A35" s="38" t="s">
        <v>31</v>
      </c>
      <c r="B35" s="42" t="s">
        <v>32</v>
      </c>
      <c r="C35" s="43"/>
      <c r="D35" s="43"/>
      <c r="E35" s="43"/>
      <c r="F35" s="43"/>
      <c r="G35" s="43"/>
      <c r="H35" s="43"/>
      <c r="I35" s="43"/>
      <c r="J35" s="43"/>
      <c r="K35" s="43"/>
      <c r="L35" s="43"/>
      <c r="M35" s="43"/>
      <c r="N35" s="43"/>
      <c r="O35" s="43"/>
      <c r="P35" s="43"/>
      <c r="Q35" s="43"/>
      <c r="R35" s="43"/>
    </row>
    <row r="36" spans="1:18" ht="30" customHeight="1" x14ac:dyDescent="0.2">
      <c r="A36" s="38" t="s">
        <v>33</v>
      </c>
      <c r="B36" s="42" t="s">
        <v>34</v>
      </c>
      <c r="C36" s="43"/>
      <c r="D36" s="43"/>
      <c r="E36" s="43"/>
      <c r="F36" s="43"/>
      <c r="G36" s="43"/>
      <c r="H36" s="43"/>
      <c r="I36" s="43"/>
      <c r="J36" s="43"/>
      <c r="K36" s="43"/>
      <c r="L36" s="43"/>
      <c r="M36" s="43"/>
      <c r="N36" s="43"/>
      <c r="O36" s="43"/>
      <c r="P36" s="43"/>
      <c r="Q36" s="43"/>
      <c r="R36" s="43"/>
    </row>
    <row r="37" spans="1:18" ht="30" customHeight="1" x14ac:dyDescent="0.2">
      <c r="A37" s="38" t="s">
        <v>35</v>
      </c>
      <c r="B37" s="42" t="s">
        <v>36</v>
      </c>
      <c r="C37" s="43"/>
      <c r="D37" s="43"/>
      <c r="E37" s="43"/>
      <c r="F37" s="43"/>
      <c r="G37" s="43"/>
      <c r="H37" s="43"/>
      <c r="I37" s="43"/>
      <c r="J37" s="43"/>
      <c r="K37" s="43"/>
      <c r="L37" s="43"/>
      <c r="M37" s="43"/>
      <c r="N37" s="43"/>
      <c r="O37" s="43"/>
      <c r="P37" s="43"/>
      <c r="Q37" s="43"/>
      <c r="R37" s="43"/>
    </row>
    <row r="38" spans="1:18" ht="30" customHeight="1" x14ac:dyDescent="0.2">
      <c r="A38" s="38" t="s">
        <v>37</v>
      </c>
      <c r="B38" s="42" t="s">
        <v>38</v>
      </c>
      <c r="C38" s="43"/>
      <c r="D38" s="43"/>
      <c r="E38" s="43"/>
      <c r="F38" s="43"/>
      <c r="G38" s="43"/>
      <c r="H38" s="43"/>
      <c r="I38" s="43"/>
      <c r="J38" s="43"/>
      <c r="K38" s="43"/>
      <c r="L38" s="43"/>
      <c r="M38" s="43"/>
      <c r="N38" s="43"/>
      <c r="O38" s="43"/>
      <c r="P38" s="43"/>
      <c r="Q38" s="43"/>
      <c r="R38" s="43"/>
    </row>
    <row r="39" spans="1:18" ht="30" customHeight="1" x14ac:dyDescent="0.2">
      <c r="A39" s="38" t="s">
        <v>39</v>
      </c>
      <c r="B39" s="42" t="s">
        <v>40</v>
      </c>
      <c r="C39" s="43"/>
      <c r="D39" s="43"/>
      <c r="E39" s="43"/>
      <c r="F39" s="43"/>
      <c r="G39" s="43"/>
      <c r="H39" s="43"/>
      <c r="I39" s="43"/>
      <c r="J39" s="43"/>
      <c r="K39" s="43"/>
      <c r="L39" s="43"/>
      <c r="M39" s="43"/>
      <c r="N39" s="43"/>
      <c r="O39" s="43"/>
      <c r="P39" s="43"/>
      <c r="Q39" s="43"/>
      <c r="R39" s="43"/>
    </row>
    <row r="41" spans="1:18" ht="17" customHeight="1" x14ac:dyDescent="0.2">
      <c r="A41" s="3" t="s">
        <v>41</v>
      </c>
      <c r="B41" s="4"/>
      <c r="C41" s="4"/>
      <c r="D41" s="4"/>
      <c r="E41" s="4"/>
      <c r="F41" s="4"/>
      <c r="G41" s="4"/>
      <c r="H41" s="4"/>
      <c r="I41" s="4"/>
      <c r="J41" s="4"/>
      <c r="K41" s="4"/>
      <c r="L41" s="4"/>
      <c r="M41" s="4"/>
      <c r="N41" s="4"/>
      <c r="O41" s="4"/>
      <c r="P41" s="4"/>
      <c r="Q41" s="4"/>
      <c r="R41" s="4"/>
    </row>
    <row r="42" spans="1:18" x14ac:dyDescent="0.2">
      <c r="A42" s="7" t="s">
        <v>42</v>
      </c>
      <c r="B42" s="46" t="str">
        <f>IF(SUMPRODUCT(ABS(B10:D10-Assumptions!C17:E17))&lt;0.5,"OK","CHECK")</f>
        <v>OK</v>
      </c>
      <c r="C42" s="47"/>
    </row>
    <row r="43" spans="1:18" x14ac:dyDescent="0.2">
      <c r="A43" s="7" t="s">
        <v>43</v>
      </c>
      <c r="B43" s="46" t="str">
        <f>IF(SUMPRODUCT(--(Assumptions!C19:E19&lt;0))+SUMPRODUCT(--(Assumptions!C19:E19&gt;Assumptions!C17:E17))=0,"OK","CHECK")</f>
        <v>OK</v>
      </c>
      <c r="C43" s="47"/>
    </row>
    <row r="44" spans="1:18" x14ac:dyDescent="0.2">
      <c r="A44" s="7" t="s">
        <v>44</v>
      </c>
      <c r="B44" s="46" t="str">
        <f>IF(G10="","PENDING AI INPUT",IF(ABS(G10-SUM(C10:F10))&lt;0.5,"OK","CHECK"))</f>
        <v>PENDING AI INPUT</v>
      </c>
      <c r="C44" s="47"/>
    </row>
    <row r="45" spans="1:18" x14ac:dyDescent="0.2">
      <c r="A45" s="7" t="s">
        <v>45</v>
      </c>
      <c r="B45" s="46" t="str">
        <f>IF(L10="","PENDING AI INPUT",IF(AND(ABS(L10-SUM(H10:K10))&lt;0.5,ABS(Q10-SUM(M10:P10))&lt;0.5),"OK","CHECK"))</f>
        <v>PENDING AI INPUT</v>
      </c>
      <c r="C45" s="47"/>
    </row>
    <row r="46" spans="1:18" x14ac:dyDescent="0.2">
      <c r="A46" s="7" t="s">
        <v>46</v>
      </c>
      <c r="B46" s="46" t="str">
        <f>IF(R10="","PENDING AI INPUT",IF(ABS(R10-(E10+F10+H10+I10))&lt;0.5,"OK","CHECK"))</f>
        <v>PENDING AI INPUT</v>
      </c>
      <c r="C46" s="47"/>
    </row>
    <row r="47" spans="1:18" x14ac:dyDescent="0.2">
      <c r="A47" s="7" t="s">
        <v>47</v>
      </c>
      <c r="B47" s="46" t="str">
        <f>IF(COUNT(E24,F24,H24,I24,J24,K24,M24,N24,O24,P24)=10,"OK","CHECK")</f>
        <v>OK</v>
      </c>
      <c r="C47" s="47"/>
    </row>
    <row r="48" spans="1:18" x14ac:dyDescent="0.2">
      <c r="A48" s="7" t="s">
        <v>48</v>
      </c>
      <c r="B48" s="46" t="str">
        <f>IF(AND(ABS(E19-Assumptions!$E$28)&lt;0.0001,ABS(AVERAGE(M19,N19,O19,P19)-Assumptions!$E$29)&lt;0.0001),"OK","CHECK")</f>
        <v>OK</v>
      </c>
      <c r="C48" s="47"/>
    </row>
    <row r="49" spans="1:13" x14ac:dyDescent="0.2">
      <c r="A49" s="7" t="s">
        <v>49</v>
      </c>
      <c r="B49" s="46" t="str">
        <f>IF(AND(ABS(E20-Assumptions!$E$30)&lt;0.0001,ABS((F20-E20)-Assumptions!$E$31)&lt;0.0001),"OK","CHECK")</f>
        <v>OK</v>
      </c>
      <c r="C49" s="47"/>
    </row>
    <row r="50" spans="1:13" x14ac:dyDescent="0.2">
      <c r="A50" s="7" t="s">
        <v>50</v>
      </c>
      <c r="B50" s="46" t="str">
        <f>IF(AND(MIN(E20,P20)&gt;0,MAX(E20,P20)&lt;1),"OK","CHECK")</f>
        <v>OK</v>
      </c>
      <c r="C50" s="47"/>
    </row>
    <row r="51" spans="1:13" x14ac:dyDescent="0.2">
      <c r="A51" s="7" t="s">
        <v>51</v>
      </c>
      <c r="B51" s="46" t="str">
        <f>IF(COUNT(Assumptions!$E$35,Assumptions!$E$36)=2,"OK","INPUT NEEDED")</f>
        <v>INPUT NEEDED</v>
      </c>
      <c r="C51" s="47"/>
    </row>
    <row r="52" spans="1:13" x14ac:dyDescent="0.2">
      <c r="A52" s="7" t="s">
        <v>52</v>
      </c>
      <c r="B52" s="46" t="str">
        <f>IF(E28="","PENDING AI INPUT",IF(AND(ABS(E28-Assumptions!$E$35)&lt;0.0001,ABS(AVERAGE(M28,N28,O28,P28)-Assumptions!$E$36)&lt;0.0001),"OK","CHECK"))</f>
        <v>PENDING AI INPUT</v>
      </c>
      <c r="C52" s="47"/>
    </row>
    <row r="54" spans="1:13" x14ac:dyDescent="0.2">
      <c r="A54" s="13" t="s">
        <v>53</v>
      </c>
      <c r="D54" s="7" t="s">
        <v>54</v>
      </c>
      <c r="G54" s="14" t="s">
        <v>55</v>
      </c>
      <c r="J54" s="15" t="s">
        <v>56</v>
      </c>
      <c r="M54" s="39" t="s">
        <v>57</v>
      </c>
    </row>
  </sheetData>
  <mergeCells count="18">
    <mergeCell ref="B52:C52"/>
    <mergeCell ref="B44:C44"/>
    <mergeCell ref="B47:C47"/>
    <mergeCell ref="B48:C48"/>
    <mergeCell ref="B35:R35"/>
    <mergeCell ref="B51:C51"/>
    <mergeCell ref="B39:R39"/>
    <mergeCell ref="B42:C42"/>
    <mergeCell ref="B38:R38"/>
    <mergeCell ref="B45:C45"/>
    <mergeCell ref="B34:R34"/>
    <mergeCell ref="B46:C46"/>
    <mergeCell ref="B33:R33"/>
    <mergeCell ref="B50:C50"/>
    <mergeCell ref="B37:R37"/>
    <mergeCell ref="B49:C49"/>
    <mergeCell ref="B43:C43"/>
    <mergeCell ref="B36:R3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Final Output</vt:lpstr>
      <vt:lpstr>Revenue Build</vt:lpstr>
      <vt:lpstr>Assumptions</vt:lpstr>
      <vt:lpstr>Data Center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Harvey Xie</cp:lastModifiedBy>
  <dcterms:created xsi:type="dcterms:W3CDTF">2026-08-20T06:47:26Z</dcterms:created>
  <dcterms:modified xsi:type="dcterms:W3CDTF">2026-08-24T06:46:00Z</dcterms:modified>
</cp:coreProperties>
</file>