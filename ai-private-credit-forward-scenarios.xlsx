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Narrow_Scenario" sheetId="3" state="visible" r:id="rId3"/>
    <sheet xmlns:r="http://schemas.openxmlformats.org/officeDocument/2006/relationships" name="Origination_Convergence" sheetId="4" state="visible" r:id="rId4"/>
    <sheet xmlns:r="http://schemas.openxmlformats.org/officeDocument/2006/relationships" name="Broad_Sleeve" sheetId="5" state="visible" r:id="rId5"/>
    <sheet xmlns:r="http://schemas.openxmlformats.org/officeDocument/2006/relationships" name="Sources" sheetId="6" state="visible" r:id="rId6"/>
    <sheet xmlns:r="http://schemas.openxmlformats.org/officeDocument/2006/relationships" name="Data_Need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0&quot;x&quot;"/>
    <numFmt numFmtId="166" formatCode="0.0%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color rgb="00FFFFFF"/>
    </font>
    <font>
      <b val="1"/>
    </font>
    <font>
      <b val="1"/>
      <sz val="11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pivotButton="0" quotePrefix="0" xfId="0"/>
    <xf numFmtId="0" fontId="0" fillId="3" borderId="0" pivotButton="0" quotePrefix="0" xfId="0"/>
    <xf numFmtId="164" fontId="0" fillId="4" borderId="0" pivotButton="0" quotePrefix="0" xfId="0"/>
    <xf numFmtId="10" fontId="0" fillId="4" borderId="0" pivotButton="0" quotePrefix="0" xfId="0"/>
    <xf numFmtId="164" fontId="0" fillId="3" borderId="0" pivotButton="0" quotePrefix="0" xfId="0"/>
    <xf numFmtId="10" fontId="0" fillId="3" borderId="0" pivotButton="0" quotePrefix="0" xfId="0"/>
    <xf numFmtId="164" fontId="0" fillId="5" borderId="0" pivotButton="0" quotePrefix="0" xfId="0"/>
    <xf numFmtId="165" fontId="0" fillId="3" borderId="0" pivotButton="0" quotePrefix="0" xfId="0"/>
    <xf numFmtId="164" fontId="0" fillId="6" borderId="0" pivotButton="0" quotePrefix="0" xfId="0"/>
    <xf numFmtId="0" fontId="5" fillId="0" borderId="0" pivotButton="0" quotePrefix="0" xfId="0"/>
    <xf numFmtId="3" fontId="0" fillId="3" borderId="0" pivotButton="0" quotePrefix="0" xfId="0"/>
    <xf numFmtId="166" fontId="0" fillId="7" borderId="0" pivotButton="0" quotePrefix="0" xfId="0"/>
    <xf numFmtId="166" fontId="0" fillId="3" borderId="0" pivotButton="0" quotePrefix="0" xfId="0"/>
    <xf numFmtId="166" fontId="0" fillId="0" borderId="0" pivotButton="0" quotePrefix="0" xfId="0"/>
    <xf numFmtId="3" fontId="0" fillId="6" borderId="0" pivotButton="0" quotePrefix="0" xfId="0"/>
    <xf numFmtId="166" fontId="0" fillId="6" borderId="0" pivotButton="0" quotePrefix="0" xfId="0"/>
    <xf numFmtId="3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2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6" customWidth="1" min="3" max="3"/>
  </cols>
  <sheetData>
    <row r="2">
      <c r="B2" s="1" t="inlineStr">
        <is>
          <t>PRIVATE CREDIT - AI CONCENTRATION FORWARD MODEL</t>
        </is>
      </c>
    </row>
    <row r="3">
      <c r="B3" s="2" t="inlineStr">
        <is>
          <t>Live model behind section 3 of private_credit_consolidated_final_section.md</t>
        </is>
      </c>
    </row>
    <row r="5">
      <c r="B5" t="inlineStr"/>
      <c r="C5" s="3" t="inlineStr"/>
    </row>
    <row r="6">
      <c r="B6" s="4" t="inlineStr">
        <is>
          <t>COLOUR KEY</t>
        </is>
      </c>
      <c r="C6" s="3" t="inlineStr"/>
    </row>
    <row r="7">
      <c r="B7" t="inlineStr">
        <is>
          <t xml:space="preserve">  GREEN</t>
        </is>
      </c>
      <c r="C7" s="3" t="inlineStr">
        <is>
          <t>You update these.</t>
        </is>
      </c>
    </row>
    <row r="8">
      <c r="B8" t="inlineStr">
        <is>
          <t xml:space="preserve">  BLUE</t>
        </is>
      </c>
      <c r="C8" s="3" t="inlineStr">
        <is>
          <t>Sourced and locked. Changing one breaks a citation.</t>
        </is>
      </c>
    </row>
    <row r="9">
      <c r="B9" t="inlineStr">
        <is>
          <t xml:space="preserve">  YELLOW</t>
        </is>
      </c>
      <c r="C9" s="3" t="inlineStr">
        <is>
          <t>Judgement. Change only with a stated reason.</t>
        </is>
      </c>
    </row>
    <row r="10">
      <c r="B10" t="inlineStr">
        <is>
          <t xml:space="preserve">  PINK</t>
        </is>
      </c>
      <c r="C10" s="3" t="inlineStr">
        <is>
          <t>Required and currently missing. Blocking.</t>
        </is>
      </c>
    </row>
    <row r="11">
      <c r="B11" t="inlineStr">
        <is>
          <t xml:space="preserve">  GREY</t>
        </is>
      </c>
      <c r="C11" s="3" t="inlineStr">
        <is>
          <t>Calculated. Do not type over.</t>
        </is>
      </c>
    </row>
    <row r="12">
      <c r="B12" t="inlineStr"/>
      <c r="C12" s="3" t="inlineStr"/>
    </row>
    <row r="13">
      <c r="B13" s="4" t="inlineStr">
        <is>
          <t>THE THREE COHORTS</t>
        </is>
      </c>
      <c r="C13" s="3" t="inlineStr"/>
    </row>
    <row r="14">
      <c r="B14" t="inlineStr">
        <is>
          <t xml:space="preserve">  Narrow</t>
        </is>
      </c>
      <c r="C14" s="3" t="inlineStr">
        <is>
          <t>AI-native borrowers, direct loans. ~8% today -&gt; ~10% by 2030 (range 5-13%). The only sleeve with a matched numerator and denominator.</t>
        </is>
      </c>
    </row>
    <row r="15">
      <c r="B15" t="inlineStr">
        <is>
          <t xml:space="preserve">  Broad</t>
        </is>
      </c>
      <c r="C15" s="3" t="inlineStr">
        <is>
          <t>AI infrastructure via ABF / private IG / project finance. $0.8-1.4tn of forecast financing and NO published denominator. Report in dollars.</t>
        </is>
      </c>
    </row>
    <row r="16">
      <c r="B16" t="inlineStr">
        <is>
          <t xml:space="preserve">  Disruption</t>
        </is>
      </c>
      <c r="C16" s="3" t="inlineStr">
        <is>
          <t>Software / technology, 19-26%. OPPOSITE SIGN. Never add to the other two.</t>
        </is>
      </c>
    </row>
    <row r="17">
      <c r="B17" t="inlineStr"/>
      <c r="C17" s="3" t="inlineStr"/>
    </row>
    <row r="18">
      <c r="B18" s="4" t="inlineStr">
        <is>
          <t>THE KEY RESULT</t>
        </is>
      </c>
      <c r="C18" s="3" t="inlineStr"/>
    </row>
    <row r="19">
      <c r="B19" t="inlineStr">
        <is>
          <t xml:space="preserve">  Convergence</t>
        </is>
      </c>
      <c r="C19" s="3" t="inlineStr">
        <is>
          <t>The 2030 weight converges to the AI share of NEW ORIGINATIONS, not to any capex forecast. With a 4.7yr loan life on a book growing 11.2%, five years covers 82% of that convergence. BIS's own $300-600bn implies a 7-15% origination share, against an OECD/FSB 2025 deal share of 34%. See the Origination_Convergence tab.</t>
        </is>
      </c>
    </row>
    <row r="20">
      <c r="B20" t="inlineStr">
        <is>
          <t xml:space="preserve">  Run-rate</t>
        </is>
      </c>
      <c r="C20" s="3" t="inlineStr">
        <is>
          <t>$200bn stock / 4.7yr life = $42.6bn/yr just to stand still, against &gt;$40bn observed in 2025. The 2025 pace IS the replacement rate. BIS's own $300-600bn projection therefore requires originations to rise 1.6x to 3.2x - a requirement no source states.</t>
        </is>
      </c>
    </row>
    <row r="21">
      <c r="B21" t="inlineStr"/>
      <c r="C21" s="3" t="inlineStr"/>
    </row>
    <row r="22">
      <c r="B22" s="4" t="inlineStr">
        <is>
          <t>SENSITIVITIES</t>
        </is>
      </c>
      <c r="C22" s="3" t="inlineStr"/>
    </row>
    <row r="23">
      <c r="B23" t="inlineStr">
        <is>
          <t xml:space="preserve">  g 11.2% -&gt; 14.0%</t>
        </is>
      </c>
      <c r="C23" s="3" t="inlineStr">
        <is>
          <t>moves the narrow 2030 result about 1.1pp lower at the base case.</t>
        </is>
      </c>
    </row>
    <row r="24">
      <c r="B24" t="inlineStr">
        <is>
          <t xml:space="preserve">  D0 +/- $250bn</t>
        </is>
      </c>
      <c r="C24" s="3" t="inlineStr">
        <is>
          <t>moves the narrow result about 1.0pp inversely.</t>
        </is>
      </c>
    </row>
    <row r="25">
      <c r="B25" t="inlineStr">
        <is>
          <t xml:space="preserve">  sigma +5pp</t>
        </is>
      </c>
      <c r="C25" s="3" t="inlineStr">
        <is>
          <t>moves the convergence result about 4.7pp - by far the largest single lever.</t>
        </is>
      </c>
    </row>
    <row r="26">
      <c r="B26" t="inlineStr"/>
      <c r="C26" s="3" t="inlineStr"/>
    </row>
    <row r="27">
      <c r="B27" s="4" t="inlineStr">
        <is>
          <t>WHAT NOT TO DO</t>
        </is>
      </c>
      <c r="C27" s="3" t="inlineStr"/>
    </row>
    <row r="28">
      <c r="B28" t="inlineStr">
        <is>
          <t xml:space="preserve">  Do not</t>
        </is>
      </c>
      <c r="C28" s="3" t="inlineStr">
        <is>
          <t>divide $800bn by Preqin's $4.5tn. That gives ~18% and is wrong: Preqin explicitly excludes ABF, private IG and insurance SMAs, which is exactly where the $800bn goes.</t>
        </is>
      </c>
    </row>
    <row r="29">
      <c r="B29" t="inlineStr">
        <is>
          <t xml:space="preserve">  Do not</t>
        </is>
      </c>
      <c r="C29" s="3" t="inlineStr">
        <is>
          <t>add the narrow 8% and the disruption 19-26% to report '27-34%'. Different universes, different taxonomies, opposite signs, unmeasured overlap.</t>
        </is>
      </c>
    </row>
    <row r="30">
      <c r="B30" t="inlineStr">
        <is>
          <t xml:space="preserve">  Do not</t>
        </is>
      </c>
      <c r="C30" s="3" t="inlineStr">
        <is>
          <t>add cumulative gross financing to today's stock. See Broad_Sleeve for the conversion.</t>
        </is>
      </c>
    </row>
    <row r="31">
      <c r="B31" t="inlineStr"/>
      <c r="C31" s="3" t="inlineStr"/>
    </row>
    <row r="32">
      <c r="B32" s="4" t="inlineStr">
        <is>
          <t>VERIFICATION</t>
        </is>
      </c>
      <c r="C32" s="3" t="inlineStr">
        <is>
          <t>Every percentage published in the markdown reconciles to this workbook. Rebuild with .codex_work/build_pc_xlsx.py; check with .codex_work/verify_pc_xlsx.py.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50"/>
  <sheetViews>
    <sheetView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4" customWidth="1" min="3" max="3"/>
    <col width="8" customWidth="1" min="4" max="4"/>
    <col width="12" customWidth="1" min="5" max="5"/>
    <col width="78" customWidth="1" min="6" max="6"/>
  </cols>
  <sheetData>
    <row r="2">
      <c r="B2" s="5" t="inlineStr">
        <is>
          <t>INPUTS - PRIVATE CREDIT AI CONCENTRATION</t>
        </is>
      </c>
    </row>
    <row r="3">
      <c r="B3" s="2" t="inlineStr">
        <is>
          <t>Edit GREEN only. Yellow = judgement. Pink = required and currently missing.</t>
        </is>
      </c>
    </row>
    <row r="4">
      <c r="A4" s="6" t="inlineStr"/>
      <c r="B4" s="6" t="inlineStr">
        <is>
          <t>Input</t>
        </is>
      </c>
      <c r="C4" s="6" t="inlineStr">
        <is>
          <t>Value</t>
        </is>
      </c>
      <c r="D4" s="6" t="inlineStr">
        <is>
          <t>Unit</t>
        </is>
      </c>
      <c r="E4" s="6" t="inlineStr">
        <is>
          <t>Status</t>
        </is>
      </c>
      <c r="F4" s="6" t="inlineStr">
        <is>
          <t>Source / note</t>
        </is>
      </c>
    </row>
    <row r="5">
      <c r="B5" s="7" t="inlineStr">
        <is>
          <t>NARROW COHORT - AI-native borrowers, direct loans</t>
        </is>
      </c>
      <c r="C5" s="8" t="n"/>
      <c r="D5" s="8" t="n"/>
      <c r="E5" s="8" t="n"/>
      <c r="F5" s="8" t="n"/>
    </row>
    <row r="6">
      <c r="B6" t="inlineStr">
        <is>
          <t>S0  AI-related direct loans outstanding</t>
        </is>
      </c>
      <c r="C6" s="9" t="n">
        <v>200</v>
      </c>
      <c r="D6" t="inlineStr">
        <is>
          <t>$bn</t>
        </is>
      </c>
      <c r="E6" t="inlineStr">
        <is>
          <t>SOURCED</t>
        </is>
      </c>
      <c r="F6" s="3" t="inlineStr">
        <is>
          <t>BIS Bulletin 120 (Jan-2026): 'more than $200bn'. NOT locally held - external link only.</t>
        </is>
      </c>
    </row>
    <row r="7">
      <c r="B7" t="inlineStr">
        <is>
          <t>W0  share of outstanding direct loans</t>
        </is>
      </c>
      <c r="C7" s="10" t="n">
        <v>0.08</v>
      </c>
      <c r="D7" t="inlineStr">
        <is>
          <t>%</t>
        </is>
      </c>
      <c r="E7" t="inlineStr">
        <is>
          <t>SOURCED</t>
        </is>
      </c>
      <c r="F7" s="3" t="inlineStr">
        <is>
          <t>BIS Bulletin 120: 'almost 8%'. Numerator and denominator are matched in the same PitchBook sample.</t>
        </is>
      </c>
    </row>
    <row r="8">
      <c r="B8" s="4" t="inlineStr">
        <is>
          <t>D0  matched direct-loan universe = S0 / W0</t>
        </is>
      </c>
      <c r="C8" s="11">
        <f>C6/C7</f>
        <v/>
      </c>
      <c r="D8" t="inlineStr">
        <is>
          <t>$bn</t>
        </is>
      </c>
      <c r="E8" t="inlineStr">
        <is>
          <t>CALC</t>
        </is>
      </c>
      <c r="F8" s="3" t="inlineStr">
        <is>
          <t>Reconciled bottom-up below. This is a GROSS outstanding loan basis, not AUM.</t>
        </is>
      </c>
    </row>
    <row r="9">
      <c r="B9" t="inlineStr">
        <is>
          <t>h   horizon</t>
        </is>
      </c>
      <c r="C9" s="9" t="n">
        <v>5</v>
      </c>
      <c r="D9" t="inlineStr">
        <is>
          <t>yrs</t>
        </is>
      </c>
      <c r="E9" t="inlineStr">
        <is>
          <t>SOURCED</t>
        </is>
      </c>
      <c r="F9" s="3" t="inlineStr">
        <is>
          <t>End-2025 to end-2030.</t>
        </is>
      </c>
    </row>
    <row r="10">
      <c r="B10" t="inlineStr">
        <is>
          <t>M   average AI loan maturity</t>
        </is>
      </c>
      <c r="C10" s="9" t="n">
        <v>4.7</v>
      </c>
      <c r="D10" t="inlineStr">
        <is>
          <t>yrs</t>
        </is>
      </c>
      <c r="E10" t="inlineStr">
        <is>
          <t>SOURCED</t>
        </is>
      </c>
      <c r="F10" s="3" t="inlineStr">
        <is>
          <t>BIS Bulletin 120: 4.7yr AI vs 4.8yr other. Implies 1/M = 21.3% of stock rolls off each year.</t>
        </is>
      </c>
    </row>
    <row r="11">
      <c r="B11" t="inlineStr">
        <is>
          <t>2025 AI originations</t>
        </is>
      </c>
      <c r="C11" s="9" t="n">
        <v>40</v>
      </c>
      <c r="D11" t="inlineStr">
        <is>
          <t>$bn</t>
        </is>
      </c>
      <c r="E11" t="inlineStr">
        <is>
          <t>SOURCED</t>
        </is>
      </c>
      <c r="F11" s="3" t="inlineStr">
        <is>
          <t>BIS Bulletin 120: 'more than $40bn' in 2025, from ~$3bn in 2010.</t>
        </is>
      </c>
    </row>
    <row r="12">
      <c r="B12" t="inlineStr">
        <is>
          <t>g   non-AI growth - low</t>
        </is>
      </c>
      <c r="C12" s="10" t="n">
        <v>0.112</v>
      </c>
      <c r="D12" t="inlineStr">
        <is>
          <t>%</t>
        </is>
      </c>
      <c r="E12" t="inlineStr">
        <is>
          <t>SOURCED</t>
        </is>
      </c>
      <c r="F12" s="3" t="inlineStr">
        <is>
          <t>Preqin Private Markets in 2030 p.19: direct lending AUM CAGR 2024-2030F, 'approaching $1.7tn by 2030F'.</t>
        </is>
      </c>
    </row>
    <row r="13">
      <c r="B13" t="inlineStr">
        <is>
          <t>Preqin total private credit AUM 2024</t>
        </is>
      </c>
      <c r="C13" s="9" t="n">
        <v>2100</v>
      </c>
      <c r="D13" t="inlineStr">
        <is>
          <t>$bn</t>
        </is>
      </c>
      <c r="E13" t="inlineStr">
        <is>
          <t>SOURCED</t>
        </is>
      </c>
      <c r="F13" s="3" t="inlineStr">
        <is>
          <t>Preqin Private Markets in 2030 p.17.</t>
        </is>
      </c>
    </row>
    <row r="14">
      <c r="B14" t="inlineStr">
        <is>
          <t>Preqin total private credit AUM 2030F</t>
        </is>
      </c>
      <c r="C14" s="9" t="n">
        <v>4500</v>
      </c>
      <c r="D14" t="inlineStr">
        <is>
          <t>$bn</t>
        </is>
      </c>
      <c r="E14" t="inlineStr">
        <is>
          <t>SOURCED</t>
        </is>
      </c>
      <c r="F14" s="3" t="inlineStr">
        <is>
          <t>Same. 'more than double the 2024 figure'.</t>
        </is>
      </c>
    </row>
    <row r="15">
      <c r="B15" s="4" t="inlineStr">
        <is>
          <t>g   non-AI growth - base</t>
        </is>
      </c>
      <c r="C15" s="12">
        <f>(C14/C13)^(1/6)-1</f>
        <v/>
      </c>
      <c r="D15" t="inlineStr">
        <is>
          <t>%</t>
        </is>
      </c>
      <c r="E15" t="inlineStr">
        <is>
          <t>CALC</t>
        </is>
      </c>
      <c r="F15" s="3" t="inlineStr">
        <is>
          <t>Derived, not typed, so it matches the section exactly: 6-year CAGR from the two Preqin points.</t>
        </is>
      </c>
    </row>
    <row r="16">
      <c r="B16" t="inlineStr">
        <is>
          <t>g   non-AI growth - high</t>
        </is>
      </c>
      <c r="C16" s="10" t="n">
        <v>0.14</v>
      </c>
      <c r="D16" t="inlineStr">
        <is>
          <t>%</t>
        </is>
      </c>
      <c r="E16" t="inlineStr">
        <is>
          <t>SOURCED</t>
        </is>
      </c>
      <c r="F16" s="3" t="inlineStr">
        <is>
          <t>JPM AI Capex 2.0 p.41: private credit universe CAGR since 2020. NOTE all three are TOTAL rates incl. AI, so using them as the non-AI rate biases results DOWN.</t>
        </is>
      </c>
    </row>
    <row r="17">
      <c r="B17" t="inlineStr">
        <is>
          <t>BIS 2030 projection - low</t>
        </is>
      </c>
      <c r="C17" s="9" t="n">
        <v>300</v>
      </c>
      <c r="D17" t="inlineStr">
        <is>
          <t>$bn</t>
        </is>
      </c>
      <c r="E17" t="inlineStr">
        <is>
          <t>SOURCED</t>
        </is>
      </c>
      <c r="F17" s="3" t="inlineStr">
        <is>
          <t>BIS Bulletin 120: $300-600bn outstanding by 2030.</t>
        </is>
      </c>
    </row>
    <row r="18">
      <c r="B18" t="inlineStr">
        <is>
          <t>BIS 2030 projection - midpoint</t>
        </is>
      </c>
      <c r="C18" s="13" t="n">
        <v>450</v>
      </c>
      <c r="D18" t="inlineStr">
        <is>
          <t>$bn</t>
        </is>
      </c>
      <c r="E18" t="inlineStr">
        <is>
          <t>JUDGEMENT</t>
        </is>
      </c>
      <c r="F18" s="3" t="inlineStr">
        <is>
          <t>Midpoint of the BIS range. Not itself published.</t>
        </is>
      </c>
    </row>
    <row r="19">
      <c r="B19" t="inlineStr">
        <is>
          <t>BIS 2030 projection - high</t>
        </is>
      </c>
      <c r="C19" s="9" t="n">
        <v>600</v>
      </c>
      <c r="D19" t="inlineStr">
        <is>
          <t>$bn</t>
        </is>
      </c>
      <c r="E19" t="inlineStr">
        <is>
          <t>SOURCED</t>
        </is>
      </c>
      <c r="F19" s="3" t="inlineStr">
        <is>
          <t>BIS Bulletin 120.</t>
        </is>
      </c>
    </row>
    <row r="20">
      <c r="B20" s="7" t="inlineStr">
        <is>
          <t>DENOMINATOR RECONCILIATION - bottom-up rebuild of D0</t>
        </is>
      </c>
      <c r="C20" s="8" t="n"/>
      <c r="D20" s="8" t="n"/>
      <c r="E20" s="8" t="n"/>
      <c r="F20" s="8" t="n"/>
    </row>
    <row r="21">
      <c r="B21" t="inlineStr">
        <is>
          <t>Drawdown fund AUM (global)</t>
        </is>
      </c>
      <c r="C21" s="9" t="n">
        <v>1810</v>
      </c>
      <c r="D21" t="inlineStr">
        <is>
          <t>$bn</t>
        </is>
      </c>
      <c r="E21" t="inlineStr">
        <is>
          <t>SOURCED</t>
        </is>
      </c>
      <c r="F21" s="3" t="inlineStr">
        <is>
          <t>JPM AI Capex 2.0 p.41, citing Preqin at 30-Sep. Excludes BDCs and semi-liquid vehicles.</t>
        </is>
      </c>
    </row>
    <row r="22">
      <c r="B22" t="inlineStr">
        <is>
          <t xml:space="preserve">  of which dry powder</t>
        </is>
      </c>
      <c r="C22" s="9" t="n">
        <v>543</v>
      </c>
      <c r="D22" t="inlineStr">
        <is>
          <t>$bn</t>
        </is>
      </c>
      <c r="E22" t="inlineStr">
        <is>
          <t>SOURCED</t>
        </is>
      </c>
      <c r="F22" s="3" t="inlineStr">
        <is>
          <t>JPM p.41 / Preqin. Record high.</t>
        </is>
      </c>
    </row>
    <row r="23">
      <c r="B23" s="4" t="inlineStr">
        <is>
          <t xml:space="preserve">  of which invested</t>
        </is>
      </c>
      <c r="C23" s="11">
        <f>C21-C22</f>
        <v/>
      </c>
      <c r="D23" t="inlineStr">
        <is>
          <t>$bn</t>
        </is>
      </c>
      <c r="E23" t="inlineStr">
        <is>
          <t>CALC</t>
        </is>
      </c>
      <c r="F23" s="3" t="inlineStr">
        <is>
          <t>JPM states $1.27tn. This is deployed fund capital, before fund-level leverage.</t>
        </is>
      </c>
    </row>
    <row r="24">
      <c r="B24" t="inlineStr">
        <is>
          <t>BDC gross asset value</t>
        </is>
      </c>
      <c r="C24" s="9" t="n">
        <v>500</v>
      </c>
      <c r="D24" t="inlineStr">
        <is>
          <t>$bn</t>
        </is>
      </c>
      <c r="E24" t="inlineStr">
        <is>
          <t>SOURCED</t>
        </is>
      </c>
      <c r="F24" s="3" t="inlineStr">
        <is>
          <t>Preqin, Private Markets Unpacked: BDCs Examined p.2, YE2025. 188 vehicles.</t>
        </is>
      </c>
    </row>
    <row r="25">
      <c r="B25" t="inlineStr">
        <is>
          <t>BDC net asset value</t>
        </is>
      </c>
      <c r="C25" s="9" t="n">
        <v>250</v>
      </c>
      <c r="D25" t="inlineStr">
        <is>
          <t>$bn</t>
        </is>
      </c>
      <c r="E25" t="inlineStr">
        <is>
          <t>SOURCED</t>
        </is>
      </c>
      <c r="F25" s="3" t="inlineStr">
        <is>
          <t>Same. Gross/net = 2.0x, i.e. 1.0x debt-to-equity.</t>
        </is>
      </c>
    </row>
    <row r="26">
      <c r="B26" s="4" t="inlineStr">
        <is>
          <t xml:space="preserve">  BDC gross-to-net</t>
        </is>
      </c>
      <c r="C26" s="14">
        <f>C24/C25</f>
        <v/>
      </c>
      <c r="D26" t="inlineStr">
        <is>
          <t>x</t>
        </is>
      </c>
      <c r="E26" t="inlineStr">
        <is>
          <t>CALC</t>
        </is>
      </c>
    </row>
    <row r="27">
      <c r="B27" s="4" t="inlineStr">
        <is>
          <t>Subtotal before drawdown-fund leverage</t>
        </is>
      </c>
      <c r="C27" s="11">
        <f>C23+C24</f>
        <v/>
      </c>
      <c r="D27" t="inlineStr">
        <is>
          <t>$bn</t>
        </is>
      </c>
      <c r="E27" t="inlineStr">
        <is>
          <t>CALC</t>
        </is>
      </c>
    </row>
    <row r="28">
      <c r="B28" s="4" t="inlineStr">
        <is>
          <t>Residual vs BIS-implied D0</t>
        </is>
      </c>
      <c r="C28" s="11">
        <f>C8-C27</f>
        <v/>
      </c>
      <c r="D28" t="inlineStr">
        <is>
          <t>$bn</t>
        </is>
      </c>
      <c r="E28" t="inlineStr">
        <is>
          <t>CALC</t>
        </is>
      </c>
      <c r="F28" s="3" t="inlineStr">
        <is>
          <t>INFERENCE, not a published figure. The one soft joint in the denominator.</t>
        </is>
      </c>
    </row>
    <row r="29">
      <c r="B29" s="4" t="inlineStr">
        <is>
          <t xml:space="preserve">  implied leverage on invested capital</t>
        </is>
      </c>
      <c r="C29" s="14">
        <f>C28/C23</f>
        <v/>
      </c>
      <c r="D29" t="inlineStr">
        <is>
          <t>x</t>
        </is>
      </c>
      <c r="E29" t="inlineStr">
        <is>
          <t>CALC</t>
        </is>
      </c>
      <c r="F29" s="3" t="inlineStr">
        <is>
          <t>0.5-1.0x is the typical direct-lending fund range, and BDCs run 1.0x. Reconciles without strain.</t>
        </is>
      </c>
    </row>
    <row r="30">
      <c r="B30" s="7" t="inlineStr">
        <is>
          <t>BROAD SLEEVE - AI infrastructure private capital</t>
        </is>
      </c>
      <c r="C30" s="8" t="n"/>
      <c r="D30" s="8" t="n"/>
      <c r="E30" s="8" t="n"/>
      <c r="F30" s="8" t="n"/>
    </row>
    <row r="31">
      <c r="B31" t="inlineStr">
        <is>
          <t>Morgan Stanley - private credit for data centres</t>
        </is>
      </c>
      <c r="C31" s="9" t="n">
        <v>800</v>
      </c>
      <c r="D31" t="inlineStr">
        <is>
          <t>$bn</t>
        </is>
      </c>
      <c r="E31" t="inlineStr">
        <is>
          <t>SOURCED</t>
        </is>
      </c>
      <c r="F31" s="3" t="inlineStr">
        <is>
          <t>MS Bridging a $1.5tn Data Center Financing Gap pp.6-9,34. Cumulative GROSS 2025-28, led by ABF.</t>
        </is>
      </c>
    </row>
    <row r="32">
      <c r="B32" t="inlineStr">
        <is>
          <t xml:space="preserve">  spread over</t>
        </is>
      </c>
      <c r="C32" s="9" t="n">
        <v>4</v>
      </c>
      <c r="D32" t="inlineStr">
        <is>
          <t>yrs</t>
        </is>
      </c>
      <c r="E32" t="inlineStr">
        <is>
          <t>SOURCED</t>
        </is>
      </c>
      <c r="F32" s="3" t="inlineStr">
        <is>
          <t>2025-2028 inclusive.</t>
        </is>
      </c>
    </row>
    <row r="33">
      <c r="B33" t="inlineStr">
        <is>
          <t>Apollo - private IG financing of AI ecosystem</t>
        </is>
      </c>
      <c r="C33" s="9" t="n">
        <v>1000</v>
      </c>
      <c r="D33" t="inlineStr">
        <is>
          <t>$bn</t>
        </is>
      </c>
      <c r="E33" t="inlineStr">
        <is>
          <t>SOURCED</t>
        </is>
      </c>
      <c r="F33" s="3" t="inlineStr">
        <is>
          <t>Apollo 2026 Midyear Credit Outlook p.16: 'private IG will likely provide more than $1 trillion of financing'.</t>
        </is>
      </c>
    </row>
    <row r="34">
      <c r="B34" t="inlineStr">
        <is>
          <t>J.P. Morgan - call on private credit/alt capital</t>
        </is>
      </c>
      <c r="C34" s="9" t="n">
        <v>1400</v>
      </c>
      <c r="D34" t="inlineStr">
        <is>
          <t>$bn</t>
        </is>
      </c>
      <c r="E34" t="inlineStr">
        <is>
          <t>SOURCED</t>
        </is>
      </c>
      <c r="F34" s="3" t="inlineStr">
        <is>
          <t>JPM AI Capex 2.0 p.47. NOT a credit numerator - explicitly includes infrastructure EQUITY (e.g. Blue Owl's ~$7bn equity in the ~$27bn Hyperion project).</t>
        </is>
      </c>
    </row>
    <row r="35">
      <c r="B35" t="inlineStr">
        <is>
          <t>Broad-cohort 2030 denominator</t>
        </is>
      </c>
      <c r="C35" s="15" t="n"/>
      <c r="D35" t="inlineStr">
        <is>
          <t>$bn</t>
        </is>
      </c>
      <c r="E35" t="inlineStr">
        <is>
          <t>MISSING</t>
        </is>
      </c>
      <c r="F35" s="3" t="inlineStr">
        <is>
          <t>BLANK AND BLOCKING. No source publishes it. Preqin's $4.5tn EXPLICITLY excludes ABF, private IG and insurance SMAs (Private Markets in 2030 p.17) - the exact three channels this sleeve uses. Do not substitute $4.5tn.</t>
        </is>
      </c>
    </row>
    <row r="36">
      <c r="B36" s="7" t="inlineStr">
        <is>
          <t>MORGAN STANLEY $800bn DECOMPOSITION - reproducibility check</t>
        </is>
      </c>
      <c r="C36" s="8" t="n"/>
      <c r="D36" s="8" t="n"/>
      <c r="E36" s="8" t="n"/>
      <c r="F36" s="8" t="n"/>
    </row>
    <row r="37">
      <c r="B37" t="inlineStr">
        <is>
          <t>Total data-centre spend 2025-28</t>
        </is>
      </c>
      <c r="C37" s="9" t="n">
        <v>2900</v>
      </c>
      <c r="D37" t="inlineStr">
        <is>
          <t>$bn</t>
        </is>
      </c>
      <c r="E37" t="inlineStr">
        <is>
          <t>SOURCED</t>
        </is>
      </c>
      <c r="F37" s="3" t="inlineStr">
        <is>
          <t>MS, as printed.</t>
        </is>
      </c>
    </row>
    <row r="38">
      <c r="B38" t="inlineStr">
        <is>
          <t xml:space="preserve">  less hyperscaler cash flow</t>
        </is>
      </c>
      <c r="C38" s="9" t="n">
        <v>1400</v>
      </c>
      <c r="D38" t="inlineStr">
        <is>
          <t>$bn</t>
        </is>
      </c>
      <c r="E38" t="inlineStr">
        <is>
          <t>SOURCED</t>
        </is>
      </c>
      <c r="F38" s="3" t="inlineStr">
        <is>
          <t>MS, as printed.</t>
        </is>
      </c>
    </row>
    <row r="39">
      <c r="B39" t="inlineStr">
        <is>
          <t xml:space="preserve">  less corporate debt</t>
        </is>
      </c>
      <c r="C39" s="9" t="n">
        <v>200</v>
      </c>
      <c r="D39" t="inlineStr">
        <is>
          <t>$bn</t>
        </is>
      </c>
      <c r="E39" t="inlineStr">
        <is>
          <t>SOURCED</t>
        </is>
      </c>
      <c r="F39" s="3" t="inlineStr">
        <is>
          <t>MS, as printed.</t>
        </is>
      </c>
    </row>
    <row r="40">
      <c r="B40" t="inlineStr">
        <is>
          <t xml:space="preserve">  less securitized debt</t>
        </is>
      </c>
      <c r="C40" s="9" t="n">
        <v>150</v>
      </c>
      <c r="D40" t="inlineStr">
        <is>
          <t>$bn</t>
        </is>
      </c>
      <c r="E40" t="inlineStr">
        <is>
          <t>SOURCED</t>
        </is>
      </c>
      <c r="F40" s="3" t="inlineStr">
        <is>
          <t>MS, as printed.</t>
        </is>
      </c>
    </row>
    <row r="41">
      <c r="B41" t="inlineStr">
        <is>
          <t xml:space="preserve">  x debt share of residual gap</t>
        </is>
      </c>
      <c r="C41" s="10" t="n">
        <v>0.7</v>
      </c>
      <c r="D41" t="inlineStr">
        <is>
          <t>%</t>
        </is>
      </c>
      <c r="E41" t="inlineStr">
        <is>
          <t>SOURCED</t>
        </is>
      </c>
      <c r="F41" s="3" t="inlineStr">
        <is>
          <t>MS 70/30 debt/other split, supported by 70-80% data-centre LTV, Abilene &gt;60% construction-loan funding, Stargate 10-20% equity.</t>
        </is>
      </c>
    </row>
    <row r="42">
      <c r="B42" s="4">
        <f> residual funding gap</f>
        <v/>
      </c>
      <c r="C42" s="11">
        <f>C37-C38-C39-C40</f>
        <v/>
      </c>
      <c r="D42" t="inlineStr">
        <is>
          <t>$bn</t>
        </is>
      </c>
      <c r="E42" t="inlineStr">
        <is>
          <t>CALC</t>
        </is>
      </c>
      <c r="F42" s="3" t="inlineStr">
        <is>
          <t>MS states $1.15tn.</t>
        </is>
      </c>
    </row>
    <row r="43">
      <c r="B43" s="4" t="inlineStr">
        <is>
          <t>x split = reproduced private credit figure</t>
        </is>
      </c>
      <c r="C43" s="11">
        <f>C42*C41</f>
        <v/>
      </c>
      <c r="D43" t="inlineStr">
        <is>
          <t>$bn</t>
        </is>
      </c>
      <c r="E43" t="inlineStr">
        <is>
          <t>CALC</t>
        </is>
      </c>
      <c r="F43" s="3" t="inlineStr">
        <is>
          <t>MS states ~$800bn. Reproduces to within 0.6%.</t>
        </is>
      </c>
    </row>
    <row r="44">
      <c r="B44" s="7" t="inlineStr">
        <is>
          <t>DISRUPTION SCREEN - software / technology (OPPOSITE SIGN, not additive)</t>
        </is>
      </c>
      <c r="C44" s="8" t="n"/>
      <c r="D44" s="8" t="n"/>
      <c r="E44" s="8" t="n"/>
      <c r="F44" s="8" t="n"/>
    </row>
    <row r="45">
      <c r="B45" t="inlineStr">
        <is>
          <t>SaaS / all direct loans</t>
        </is>
      </c>
      <c r="C45" s="10" t="n">
        <v>0.19</v>
      </c>
      <c r="D45" t="inlineStr">
        <is>
          <t>%</t>
        </is>
      </c>
      <c r="E45" t="inlineStr">
        <is>
          <t>SOURCED</t>
        </is>
      </c>
      <c r="F45" s="3" t="inlineStr">
        <is>
          <t>BIS Quarterly Review Mar-2026: &gt;$500bn, from ~$8bn in 2015.</t>
        </is>
      </c>
    </row>
    <row r="46">
      <c r="B46" t="inlineStr">
        <is>
          <t>Software / all BDC lending</t>
        </is>
      </c>
      <c r="C46" s="10" t="n">
        <v>0.2</v>
      </c>
      <c r="D46" t="inlineStr">
        <is>
          <t>%</t>
        </is>
      </c>
      <c r="E46" t="inlineStr">
        <is>
          <t>SOURCED</t>
        </is>
      </c>
      <c r="F46" s="3" t="inlineStr">
        <is>
          <t>BIS Bulletin 128 Jul-2026: ~$115bn, &gt;80% of BDC tech books.</t>
        </is>
      </c>
    </row>
    <row r="47">
      <c r="B47" t="inlineStr">
        <is>
          <t>Software / KBRA DLD Direct Lending Index</t>
        </is>
      </c>
      <c r="C47" s="10" t="n">
        <v>0.21</v>
      </c>
      <c r="D47" t="inlineStr">
        <is>
          <t>%</t>
        </is>
      </c>
      <c r="E47" t="inlineStr">
        <is>
          <t>SOURCED</t>
        </is>
      </c>
      <c r="F47" s="3" t="inlineStr">
        <is>
          <t>JPM AI Capex 2.0 Figure 48, p.42.</t>
        </is>
      </c>
    </row>
    <row r="48">
      <c r="B48" t="inlineStr">
        <is>
          <t>Technology / private credit universe</t>
        </is>
      </c>
      <c r="C48" s="10" t="n">
        <v>0.22</v>
      </c>
      <c r="D48" t="inlineStr">
        <is>
          <t>%</t>
        </is>
      </c>
      <c r="E48" t="inlineStr">
        <is>
          <t>SOURCED</t>
        </is>
      </c>
      <c r="F48" s="3" t="inlineStr">
        <is>
          <t>JPM AI Capex 2.0 p.41.</t>
        </is>
      </c>
    </row>
    <row r="49">
      <c r="B49" t="inlineStr">
        <is>
          <t>Software + IT services / 42 public BDCs</t>
        </is>
      </c>
      <c r="C49" s="10" t="n">
        <v>0.26</v>
      </c>
      <c r="D49" t="inlineStr">
        <is>
          <t>%</t>
        </is>
      </c>
      <c r="E49" t="inlineStr">
        <is>
          <t>SOURCED</t>
        </is>
      </c>
      <c r="F49" s="3" t="inlineStr">
        <is>
          <t>MS Mapping Software Exposure pp.4,17-18. 23% software alone; 19% in private-credit CLOs.</t>
        </is>
      </c>
    </row>
    <row r="50">
      <c r="B50" s="4" t="inlineStr">
        <is>
          <t>Mean of the five measures</t>
        </is>
      </c>
      <c r="C50" s="12">
        <f>AVERAGE(C45,C46,C47,C48,C49)</f>
        <v/>
      </c>
      <c r="D50" t="inlineStr">
        <is>
          <t>%</t>
        </is>
      </c>
      <c r="E50" t="inlineStr">
        <is>
          <t>CALC</t>
        </is>
      </c>
      <c r="F50" s="3" t="inlineStr">
        <is>
          <t>Dispersion is taxonomy width and vehicle sample, not disagreement.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1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3" customWidth="1" min="3" max="3"/>
    <col width="12" customWidth="1" min="4" max="4"/>
    <col width="12" customWidth="1" min="5" max="5"/>
    <col width="12" customWidth="1" min="6" max="6"/>
    <col width="60" customWidth="1" min="7" max="7"/>
  </cols>
  <sheetData>
    <row r="2">
      <c r="B2" s="5" t="inlineStr">
        <is>
          <t>NARROW COHORT - END-2030 WEIGHT</t>
        </is>
      </c>
    </row>
    <row r="3">
      <c r="B3" s="2" t="inlineStr">
        <is>
          <t>W = (S0 + N) / ((D0 - S0)(1+g)^h + S0 + N).   N enters numerator AND denominator.</t>
        </is>
      </c>
    </row>
    <row r="5">
      <c r="A5" s="6" t="inlineStr"/>
      <c r="B5" s="6" t="inlineStr">
        <is>
          <t>Route</t>
        </is>
      </c>
      <c r="C5" s="6" t="inlineStr">
        <is>
          <t>N ($bn)</t>
        </is>
      </c>
      <c r="D5" s="6" t="inlineStr">
        <is>
          <t>g = low</t>
        </is>
      </c>
      <c r="E5" s="6" t="inlineStr">
        <is>
          <t>g = base</t>
        </is>
      </c>
      <c r="F5" s="6" t="inlineStr">
        <is>
          <t>g = high</t>
        </is>
      </c>
      <c r="G5" s="6" t="inlineStr">
        <is>
          <t>Note</t>
        </is>
      </c>
    </row>
    <row r="6">
      <c r="B6" t="inlineStr">
        <is>
          <t>B - Flat originations (FLOOR)</t>
        </is>
      </c>
      <c r="C6" s="11">
        <f>0</f>
        <v/>
      </c>
      <c r="D6" s="12">
        <f>(Inputs!C6+$C6)/((Inputs!C8-Inputs!C6)*(1+Inputs!C12)^Inputs!C9+Inputs!C6+$C6)</f>
        <v/>
      </c>
      <c r="E6" s="12">
        <f>(Inputs!C6+$C6)/((Inputs!C8-Inputs!C6)*(1+Inputs!C15)^Inputs!C9+Inputs!C6+$C6)</f>
        <v/>
      </c>
      <c r="F6" s="12">
        <f>(Inputs!C6+$C6)/((Inputs!C8-Inputs!C6)*(1+Inputs!C16)^Inputs!C9+Inputs!C6+$C6)</f>
        <v/>
      </c>
      <c r="G6" s="3" t="inlineStr">
        <is>
          <t>2025 pace persists. $200bn/4.7yr = $42.6bn/yr replacement need vs &gt;$40bn observed.</t>
        </is>
      </c>
    </row>
    <row r="7">
      <c r="B7" t="inlineStr">
        <is>
          <t>C - Parity growth</t>
        </is>
      </c>
      <c r="C7" s="8" t="inlineStr">
        <is>
          <t>derived (varies with g)</t>
        </is>
      </c>
      <c r="D7" s="12">
        <f>(Inputs!C6+(Inputs!C6*((1+Inputs!C12)^Inputs!C9-1)))/((Inputs!C8-Inputs!C6)*(1+Inputs!C12)^Inputs!C9+Inputs!C6+(Inputs!C6*((1+Inputs!C12)^Inputs!C9-1)))</f>
        <v/>
      </c>
      <c r="E7" s="12">
        <f>(Inputs!C6+(Inputs!C6*((1+Inputs!C15)^Inputs!C9-1)))/((Inputs!C8-Inputs!C6)*(1+Inputs!C15)^Inputs!C9+Inputs!C6+(Inputs!C6*((1+Inputs!C15)^Inputs!C9-1)))</f>
        <v/>
      </c>
      <c r="F7" s="12">
        <f>(Inputs!C6+(Inputs!C6*((1+Inputs!C16)^Inputs!C9-1)))/((Inputs!C8-Inputs!C6)*(1+Inputs!C16)^Inputs!C9+Inputs!C6+(Inputs!C6*((1+Inputs!C16)^Inputs!C9-1)))</f>
        <v/>
      </c>
      <c r="G7" s="3" t="inlineStr">
        <is>
          <t>AI grows exactly with the asset class. Algebraically collapses to S0/D0 = W0 at every g - a behaviour check on the identity.</t>
        </is>
      </c>
    </row>
    <row r="8">
      <c r="B8" t="inlineStr">
        <is>
          <t>A-low - BIS $300bn stock</t>
        </is>
      </c>
      <c r="C8" s="9">
        <f>Inputs!C17-Inputs!C6</f>
        <v/>
      </c>
      <c r="D8" s="12">
        <f>(Inputs!C6+$C8)/((Inputs!C8-Inputs!C6)*(1+Inputs!C12)^Inputs!C9+Inputs!C6+$C8)</f>
        <v/>
      </c>
      <c r="E8" s="12">
        <f>(Inputs!C6+$C8)/((Inputs!C8-Inputs!C6)*(1+Inputs!C15)^Inputs!C9+Inputs!C6+$C8)</f>
        <v/>
      </c>
      <c r="F8" s="12">
        <f>(Inputs!C6+$C8)/((Inputs!C8-Inputs!C6)*(1+Inputs!C16)^Inputs!C9+Inputs!C6+$C8)</f>
        <v/>
      </c>
      <c r="G8" s="3" t="inlineStr">
        <is>
          <t>BIS Bulletin 120 low end.</t>
        </is>
      </c>
    </row>
    <row r="9">
      <c r="B9" t="inlineStr">
        <is>
          <t>A-mid - BIS $450bn stock (BASE)</t>
        </is>
      </c>
      <c r="C9" s="9">
        <f>Inputs!C18-Inputs!C6</f>
        <v/>
      </c>
      <c r="D9" s="12">
        <f>(Inputs!C6+$C9)/((Inputs!C8-Inputs!C6)*(1+Inputs!C12)^Inputs!C9+Inputs!C6+$C9)</f>
        <v/>
      </c>
      <c r="E9" s="12">
        <f>(Inputs!C6+$C9)/((Inputs!C8-Inputs!C6)*(1+Inputs!C15)^Inputs!C9+Inputs!C6+$C9)</f>
        <v/>
      </c>
      <c r="F9" s="12">
        <f>(Inputs!C6+$C9)/((Inputs!C8-Inputs!C6)*(1+Inputs!C16)^Inputs!C9+Inputs!C6+$C9)</f>
        <v/>
      </c>
      <c r="G9" s="3" t="inlineStr">
        <is>
          <t>Midpoint of the BIS range.</t>
        </is>
      </c>
    </row>
    <row r="10">
      <c r="B10" t="inlineStr">
        <is>
          <t>A-high - BIS $600bn stock</t>
        </is>
      </c>
      <c r="C10" s="9">
        <f>Inputs!C19-Inputs!C6</f>
        <v/>
      </c>
      <c r="D10" s="12">
        <f>(Inputs!C6+$C10)/((Inputs!C8-Inputs!C6)*(1+Inputs!C12)^Inputs!C9+Inputs!C6+$C10)</f>
        <v/>
      </c>
      <c r="E10" s="12">
        <f>(Inputs!C6+$C10)/((Inputs!C8-Inputs!C6)*(1+Inputs!C15)^Inputs!C9+Inputs!C6+$C10)</f>
        <v/>
      </c>
      <c r="F10" s="12">
        <f>(Inputs!C6+$C10)/((Inputs!C8-Inputs!C6)*(1+Inputs!C16)^Inputs!C9+Inputs!C6+$C10)</f>
        <v/>
      </c>
      <c r="G10" s="3" t="inlineStr">
        <is>
          <t>BIS Bulletin 120 high end.</t>
        </is>
      </c>
    </row>
    <row r="12">
      <c r="B12" s="16" t="inlineStr">
        <is>
          <t>PREFERRED VIEW: ~10% by end-2030, range 5-14%</t>
        </is>
      </c>
    </row>
    <row r="13">
      <c r="B13" s="3" t="inlineStr">
        <is>
          <t>Base = Route A-mid across the g band (9.4-10.3%), independently corroborated by the Route D recursion at the origination share BIS implies (10.6%). Floor is Route B - a FALLING weight, which the prior version of this section had no case for.</t>
        </is>
      </c>
    </row>
    <row r="14"/>
    <row r="15"/>
  </sheetData>
  <mergeCells count="1">
    <mergeCell ref="B13:G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29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52" customWidth="1" min="9" max="9"/>
  </cols>
  <sheetData>
    <row r="2">
      <c r="B2" s="5" t="inlineStr">
        <is>
          <t>ROUTE D - THE WEIGHT CONVERGES TO THE ORIGINATION SHARE</t>
        </is>
      </c>
    </row>
    <row r="3">
      <c r="B3" s="2" t="inlineStr">
        <is>
          <t>S(t+1) = S(t)(1 - 1/M) + sigma x D(t) x (g + 1/M).   Steady state: S/D -&gt; sigma exactly.</t>
        </is>
      </c>
    </row>
    <row r="4">
      <c r="B4" s="3" t="inlineStr">
        <is>
          <t>Gross originations must be D(g + 1/M), not D/M: a book growing at g needs new lending to cover run-off AND growth. Error decays by (1-1/M)/(1+g) a year, so five years covers 82% of the gap.</t>
        </is>
      </c>
    </row>
    <row r="6">
      <c r="A6" s="6" t="inlineStr"/>
      <c r="B6" s="6" t="inlineStr">
        <is>
          <t>Series</t>
        </is>
      </c>
      <c r="C6" s="6" t="inlineStr">
        <is>
          <t>2025</t>
        </is>
      </c>
      <c r="D6" s="6" t="inlineStr">
        <is>
          <t>2026</t>
        </is>
      </c>
      <c r="E6" s="6" t="inlineStr">
        <is>
          <t>2027</t>
        </is>
      </c>
      <c r="F6" s="6" t="inlineStr">
        <is>
          <t>2028</t>
        </is>
      </c>
      <c r="G6" s="6" t="inlineStr">
        <is>
          <t>2029</t>
        </is>
      </c>
      <c r="H6" s="6" t="inlineStr">
        <is>
          <t>2030</t>
        </is>
      </c>
      <c r="I6" s="6" t="inlineStr">
        <is>
          <t>Note</t>
        </is>
      </c>
    </row>
    <row r="7">
      <c r="B7" s="4" t="inlineStr">
        <is>
          <t>D(t)  total direct loans</t>
        </is>
      </c>
      <c r="C7" s="17">
        <f>Inputs!C8</f>
        <v/>
      </c>
      <c r="D7" s="17">
        <f>C7*(1+Inputs!C12)</f>
        <v/>
      </c>
      <c r="E7" s="17">
        <f>D7*(1+Inputs!C12)</f>
        <v/>
      </c>
      <c r="F7" s="17">
        <f>E7*(1+Inputs!C12)</f>
        <v/>
      </c>
      <c r="G7" s="17">
        <f>F7*(1+Inputs!C12)</f>
        <v/>
      </c>
      <c r="H7" s="17">
        <f>G7*(1+Inputs!C12)</f>
        <v/>
      </c>
      <c r="I7" s="3" t="inlineStr">
        <is>
          <t>Grown at g-low (Preqin direct lending 11.2%).</t>
        </is>
      </c>
    </row>
    <row r="8">
      <c r="B8" s="4" t="inlineStr">
        <is>
          <t>AI STOCK S(t) BY ORIGINATION SHARE</t>
        </is>
      </c>
    </row>
    <row r="9">
      <c r="B9" s="18" t="n">
        <v>0.049</v>
      </c>
      <c r="C9" s="17">
        <f>Inputs!C6</f>
        <v/>
      </c>
      <c r="D9" s="17">
        <f>C9*(1-1/Inputs!C10)+$B9*C7*(Inputs!C12+1/Inputs!C10)</f>
        <v/>
      </c>
      <c r="E9" s="17">
        <f>D9*(1-1/Inputs!C10)+$B9*D7*(Inputs!C12+1/Inputs!C10)</f>
        <v/>
      </c>
      <c r="F9" s="17">
        <f>E9*(1-1/Inputs!C10)+$B9*E7*(Inputs!C12+1/Inputs!C10)</f>
        <v/>
      </c>
      <c r="G9" s="17">
        <f>F9*(1-1/Inputs!C10)+$B9*F7*(Inputs!C12+1/Inputs!C10)</f>
        <v/>
      </c>
      <c r="H9" s="17">
        <f>G9*(1-1/Inputs!C10)+$B9*G7*(Inputs!C12+1/Inputs!C10)</f>
        <v/>
      </c>
      <c r="I9" s="3" t="inlineStr">
        <is>
          <t>Flat originations at the 2025 pace (&gt;$40bn). Corroborates the prior draft's ~4%.</t>
        </is>
      </c>
    </row>
    <row r="10">
      <c r="B10" s="18" t="n">
        <v>0.06900000000000001</v>
      </c>
      <c r="C10" s="17">
        <f>Inputs!C6</f>
        <v/>
      </c>
      <c r="D10" s="17">
        <f>C10*(1-1/Inputs!C10)+$B10*C7*(Inputs!C12+1/Inputs!C10)</f>
        <v/>
      </c>
      <c r="E10" s="17">
        <f>D10*(1-1/Inputs!C10)+$B10*D7*(Inputs!C12+1/Inputs!C10)</f>
        <v/>
      </c>
      <c r="F10" s="17">
        <f>E10*(1-1/Inputs!C10)+$B10*E7*(Inputs!C12+1/Inputs!C10)</f>
        <v/>
      </c>
      <c r="G10" s="17">
        <f>F10*(1-1/Inputs!C10)+$B10*F7*(Inputs!C12+1/Inputs!C10)</f>
        <v/>
      </c>
      <c r="H10" s="17">
        <f>G10*(1-1/Inputs!C10)+$B10*G7*(Inputs!C12+1/Inputs!C10)</f>
        <v/>
      </c>
      <c r="I10" s="3" t="inlineStr">
        <is>
          <t>Implied by BIS's own $300bn low case</t>
        </is>
      </c>
    </row>
    <row r="11">
      <c r="B11" s="18" t="n">
        <v>0.09</v>
      </c>
      <c r="C11" s="17">
        <f>Inputs!C6</f>
        <v/>
      </c>
      <c r="D11" s="17">
        <f>C11*(1-1/Inputs!C10)+$B11*C7*(Inputs!C12+1/Inputs!C10)</f>
        <v/>
      </c>
      <c r="E11" s="17">
        <f>D11*(1-1/Inputs!C10)+$B11*D7*(Inputs!C12+1/Inputs!C10)</f>
        <v/>
      </c>
      <c r="F11" s="17">
        <f>E11*(1-1/Inputs!C10)+$B11*E7*(Inputs!C12+1/Inputs!C10)</f>
        <v/>
      </c>
      <c r="G11" s="17">
        <f>F11*(1-1/Inputs!C10)+$B11*F7*(Inputs!C12+1/Inputs!C10)</f>
        <v/>
      </c>
      <c r="H11" s="17">
        <f>G11*(1-1/Inputs!C10)+$B11*G7*(Inputs!C12+1/Inputs!C10)</f>
        <v/>
      </c>
      <c r="I11" s="3" t="inlineStr">
        <is>
          <t>OECD 2024 deal share</t>
        </is>
      </c>
    </row>
    <row r="12">
      <c r="B12" s="18" t="n">
        <v>0.111</v>
      </c>
      <c r="C12" s="17">
        <f>Inputs!C6</f>
        <v/>
      </c>
      <c r="D12" s="17">
        <f>C12*(1-1/Inputs!C10)+$B12*C7*(Inputs!C12+1/Inputs!C10)</f>
        <v/>
      </c>
      <c r="E12" s="17">
        <f>D12*(1-1/Inputs!C10)+$B12*D7*(Inputs!C12+1/Inputs!C10)</f>
        <v/>
      </c>
      <c r="F12" s="17">
        <f>E12*(1-1/Inputs!C10)+$B12*E7*(Inputs!C12+1/Inputs!C10)</f>
        <v/>
      </c>
      <c r="G12" s="17">
        <f>F12*(1-1/Inputs!C10)+$B12*F7*(Inputs!C12+1/Inputs!C10)</f>
        <v/>
      </c>
      <c r="H12" s="17">
        <f>G12*(1-1/Inputs!C10)+$B12*G7*(Inputs!C12+1/Inputs!C10)</f>
        <v/>
      </c>
      <c r="I12" s="3" t="inlineStr">
        <is>
          <t>Implied by the BIS $450bn midpoint</t>
        </is>
      </c>
    </row>
    <row r="13">
      <c r="B13" s="18" t="n">
        <v>0.154</v>
      </c>
      <c r="C13" s="17">
        <f>Inputs!C6</f>
        <v/>
      </c>
      <c r="D13" s="17">
        <f>C13*(1-1/Inputs!C10)+$B13*C7*(Inputs!C12+1/Inputs!C10)</f>
        <v/>
      </c>
      <c r="E13" s="17">
        <f>D13*(1-1/Inputs!C10)+$B13*D7*(Inputs!C12+1/Inputs!C10)</f>
        <v/>
      </c>
      <c r="F13" s="17">
        <f>E13*(1-1/Inputs!C10)+$B13*E7*(Inputs!C12+1/Inputs!C10)</f>
        <v/>
      </c>
      <c r="G13" s="17">
        <f>F13*(1-1/Inputs!C10)+$B13*F7*(Inputs!C12+1/Inputs!C10)</f>
        <v/>
      </c>
      <c r="H13" s="17">
        <f>G13*(1-1/Inputs!C10)+$B13*G7*(Inputs!C12+1/Inputs!C10)</f>
        <v/>
      </c>
      <c r="I13" s="3" t="inlineStr">
        <is>
          <t>Implied by BIS's own $600bn high case</t>
        </is>
      </c>
    </row>
    <row r="14">
      <c r="B14" s="18" t="n">
        <v>0.17</v>
      </c>
      <c r="C14" s="17">
        <f>Inputs!C6</f>
        <v/>
      </c>
      <c r="D14" s="17">
        <f>C14*(1-1/Inputs!C10)+$B14*C7*(Inputs!C12+1/Inputs!C10)</f>
        <v/>
      </c>
      <c r="E14" s="17">
        <f>D14*(1-1/Inputs!C10)+$B14*D7*(Inputs!C12+1/Inputs!C10)</f>
        <v/>
      </c>
      <c r="F14" s="17">
        <f>E14*(1-1/Inputs!C10)+$B14*E7*(Inputs!C12+1/Inputs!C10)</f>
        <v/>
      </c>
      <c r="G14" s="17">
        <f>F14*(1-1/Inputs!C10)+$B14*F7*(Inputs!C12+1/Inputs!C10)</f>
        <v/>
      </c>
      <c r="H14" s="17">
        <f>G14*(1-1/Inputs!C10)+$B14*G7*(Inputs!C12+1/Inputs!C10)</f>
        <v/>
      </c>
      <c r="I14" s="3" t="inlineStr">
        <is>
          <t>FSB five-year average deal share</t>
        </is>
      </c>
    </row>
    <row r="15">
      <c r="B15" s="18" t="n">
        <v>0.34</v>
      </c>
      <c r="C15" s="17">
        <f>Inputs!C6</f>
        <v/>
      </c>
      <c r="D15" s="17">
        <f>C15*(1-1/Inputs!C10)+$B15*C7*(Inputs!C12+1/Inputs!C10)</f>
        <v/>
      </c>
      <c r="E15" s="17">
        <f>D15*(1-1/Inputs!C10)+$B15*D7*(Inputs!C12+1/Inputs!C10)</f>
        <v/>
      </c>
      <c r="F15" s="17">
        <f>E15*(1-1/Inputs!C10)+$B15*E7*(Inputs!C12+1/Inputs!C10)</f>
        <v/>
      </c>
      <c r="G15" s="17">
        <f>F15*(1-1/Inputs!C10)+$B15*F7*(Inputs!C12+1/Inputs!C10)</f>
        <v/>
      </c>
      <c r="H15" s="17">
        <f>G15*(1-1/Inputs!C10)+$B15*G7*(Inputs!C12+1/Inputs!C10)</f>
        <v/>
      </c>
      <c r="I15" s="3" t="inlineStr">
        <is>
          <t>OECD and FSB 2025 deal share - they agree</t>
        </is>
      </c>
    </row>
    <row r="17">
      <c r="B17" s="4" t="inlineStr">
        <is>
          <t>IMPLIED WEIGHT W(t) = S(t) / D(t)</t>
        </is>
      </c>
    </row>
    <row r="18">
      <c r="B18" s="19">
        <f>$B$9</f>
        <v/>
      </c>
      <c r="C18" s="19">
        <f>C9/C7</f>
        <v/>
      </c>
      <c r="D18" s="19">
        <f>D9/D7</f>
        <v/>
      </c>
      <c r="E18" s="19">
        <f>E9/E7</f>
        <v/>
      </c>
      <c r="F18" s="19">
        <f>F9/F7</f>
        <v/>
      </c>
      <c r="G18" s="19">
        <f>G9/G7</f>
        <v/>
      </c>
      <c r="H18" s="19">
        <f>H9/H7</f>
        <v/>
      </c>
      <c r="I18" s="3" t="inlineStr">
        <is>
          <t>2030 column is the published figure.</t>
        </is>
      </c>
    </row>
    <row r="19">
      <c r="B19" s="19">
        <f>$B$10</f>
        <v/>
      </c>
      <c r="C19" s="19">
        <f>C10/C7</f>
        <v/>
      </c>
      <c r="D19" s="19">
        <f>D10/D7</f>
        <v/>
      </c>
      <c r="E19" s="19">
        <f>E10/E7</f>
        <v/>
      </c>
      <c r="F19" s="19">
        <f>F10/F7</f>
        <v/>
      </c>
      <c r="G19" s="19">
        <f>G10/G7</f>
        <v/>
      </c>
      <c r="H19" s="19">
        <f>H10/H7</f>
        <v/>
      </c>
      <c r="I19" s="3" t="inlineStr">
        <is>
          <t>2030 column is the published figure.</t>
        </is>
      </c>
    </row>
    <row r="20">
      <c r="B20" s="19">
        <f>$B$11</f>
        <v/>
      </c>
      <c r="C20" s="19">
        <f>C11/C7</f>
        <v/>
      </c>
      <c r="D20" s="19">
        <f>D11/D7</f>
        <v/>
      </c>
      <c r="E20" s="19">
        <f>E11/E7</f>
        <v/>
      </c>
      <c r="F20" s="19">
        <f>F11/F7</f>
        <v/>
      </c>
      <c r="G20" s="19">
        <f>G11/G7</f>
        <v/>
      </c>
      <c r="H20" s="19">
        <f>H11/H7</f>
        <v/>
      </c>
      <c r="I20" s="3" t="inlineStr">
        <is>
          <t>2030 column is the published figure.</t>
        </is>
      </c>
    </row>
    <row r="21">
      <c r="B21" s="19">
        <f>$B$12</f>
        <v/>
      </c>
      <c r="C21" s="19">
        <f>C12/C7</f>
        <v/>
      </c>
      <c r="D21" s="19">
        <f>D12/D7</f>
        <v/>
      </c>
      <c r="E21" s="19">
        <f>E12/E7</f>
        <v/>
      </c>
      <c r="F21" s="19">
        <f>F12/F7</f>
        <v/>
      </c>
      <c r="G21" s="19">
        <f>G12/G7</f>
        <v/>
      </c>
      <c r="H21" s="19">
        <f>H12/H7</f>
        <v/>
      </c>
      <c r="I21" s="3" t="inlineStr">
        <is>
          <t>2030 column is the published figure.</t>
        </is>
      </c>
    </row>
    <row r="22">
      <c r="B22" s="19">
        <f>$B$13</f>
        <v/>
      </c>
      <c r="C22" s="19">
        <f>C13/C7</f>
        <v/>
      </c>
      <c r="D22" s="19">
        <f>D13/D7</f>
        <v/>
      </c>
      <c r="E22" s="19">
        <f>E13/E7</f>
        <v/>
      </c>
      <c r="F22" s="19">
        <f>F13/F7</f>
        <v/>
      </c>
      <c r="G22" s="19">
        <f>G13/G7</f>
        <v/>
      </c>
      <c r="H22" s="19">
        <f>H13/H7</f>
        <v/>
      </c>
      <c r="I22" s="3" t="inlineStr">
        <is>
          <t>2030 column is the published figure.</t>
        </is>
      </c>
    </row>
    <row r="23">
      <c r="B23" s="19">
        <f>$B$14</f>
        <v/>
      </c>
      <c r="C23" s="19">
        <f>C14/C7</f>
        <v/>
      </c>
      <c r="D23" s="19">
        <f>D14/D7</f>
        <v/>
      </c>
      <c r="E23" s="19">
        <f>E14/E7</f>
        <v/>
      </c>
      <c r="F23" s="19">
        <f>F14/F7</f>
        <v/>
      </c>
      <c r="G23" s="19">
        <f>G14/G7</f>
        <v/>
      </c>
      <c r="H23" s="19">
        <f>H14/H7</f>
        <v/>
      </c>
      <c r="I23" s="3" t="inlineStr">
        <is>
          <t>2030 column is the published figure.</t>
        </is>
      </c>
    </row>
    <row r="24">
      <c r="B24" s="19">
        <f>$B$15</f>
        <v/>
      </c>
      <c r="C24" s="19">
        <f>C15/C7</f>
        <v/>
      </c>
      <c r="D24" s="19">
        <f>D15/D7</f>
        <v/>
      </c>
      <c r="E24" s="19">
        <f>E15/E7</f>
        <v/>
      </c>
      <c r="F24" s="19">
        <f>F15/F7</f>
        <v/>
      </c>
      <c r="G24" s="19">
        <f>G15/G7</f>
        <v/>
      </c>
      <c r="H24" s="19">
        <f>H15/H7</f>
        <v/>
      </c>
      <c r="I24" s="3" t="inlineStr">
        <is>
          <t>2030 column is the published figure.</t>
        </is>
      </c>
    </row>
    <row r="26">
      <c r="B26" s="4" t="inlineStr">
        <is>
          <t>MONITORING: this is the highest-value indicator on the dashboard.</t>
        </is>
      </c>
      <c r="C26" s="20">
        <f>Inputs!C7</f>
        <v/>
      </c>
      <c r="D26" s="3" t="inlineStr">
        <is>
          <t>sigma = W0 = 8% must hold the weight flat at 8.00% in every year. Set any sigma cell above to 8% to confirm.</t>
        </is>
      </c>
    </row>
    <row r="27">
      <c r="B27" s="3" t="inlineStr">
        <is>
          <t>The 2030 weight converges to the AI share of NEW ORIGINATIONS and to nothing else. It discriminates between a 4% and a 13% outcome, and it is observable from deal tapes and BDC filings long before it appears in stock.</t>
        </is>
      </c>
    </row>
    <row r="28"/>
    <row r="29"/>
  </sheetData>
  <mergeCells count="3">
    <mergeCell ref="B27:I29"/>
    <mergeCell ref="B4:I4"/>
    <mergeCell ref="D26:I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F21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4" customWidth="1" min="3" max="3"/>
    <col width="14" customWidth="1" min="4" max="4"/>
    <col width="14" customWidth="1" min="5" max="5"/>
    <col width="66" customWidth="1" min="6" max="6"/>
  </cols>
  <sheetData>
    <row r="2">
      <c r="B2" s="5" t="inlineStr">
        <is>
          <t>BROAD SLEEVE - AI INFRASTRUCTURE PRIVATE CREDIT</t>
        </is>
      </c>
    </row>
    <row r="3">
      <c r="B3" s="2" t="inlineStr">
        <is>
          <t>Numerators are CUMULATIVE GROSS financing. There is no published denominator.</t>
        </is>
      </c>
    </row>
    <row r="5">
      <c r="A5" s="6" t="inlineStr"/>
      <c r="B5" s="6" t="inlineStr">
        <is>
          <t>Source</t>
        </is>
      </c>
      <c r="C5" s="6" t="inlineStr">
        <is>
          <t>$bn</t>
        </is>
      </c>
      <c r="D5" s="6" t="inlineStr">
        <is>
          <t>Window</t>
        </is>
      </c>
      <c r="E5" s="6" t="inlineStr">
        <is>
          <t>Basis</t>
        </is>
      </c>
      <c r="F5" s="6" t="inlineStr">
        <is>
          <t>Note</t>
        </is>
      </c>
    </row>
    <row r="6">
      <c r="B6" t="inlineStr">
        <is>
          <t>Morgan Stanley</t>
        </is>
      </c>
      <c r="C6" s="17">
        <f>Inputs!C31</f>
        <v/>
      </c>
      <c r="D6" t="inlineStr">
        <is>
          <t>2025-28</t>
        </is>
      </c>
      <c r="E6" t="inlineStr">
        <is>
          <t>cumulative gross, led by ABF</t>
        </is>
      </c>
      <c r="F6" s="3" t="inlineStr">
        <is>
          <t>Fully reproducible from its own components - see the Inputs decomposition block.</t>
        </is>
      </c>
    </row>
    <row r="7">
      <c r="B7" t="inlineStr">
        <is>
          <t>Apollo</t>
        </is>
      </c>
      <c r="C7" s="17">
        <f>Inputs!C33</f>
        <v/>
      </c>
      <c r="D7" t="inlineStr">
        <is>
          <t>to 2030</t>
        </is>
      </c>
      <c r="E7" t="inlineStr">
        <is>
          <t>cumulative gross, private IG</t>
        </is>
      </c>
      <c r="F7" s="3" t="inlineStr">
        <is>
          <t>'private IG will likely provide more than $1 trillion of financing'.</t>
        </is>
      </c>
    </row>
    <row r="8">
      <c r="B8" t="inlineStr">
        <is>
          <t>J.P. Morgan</t>
        </is>
      </c>
      <c r="C8" s="17">
        <f>Inputs!C34</f>
        <v/>
      </c>
      <c r="D8" t="inlineStr">
        <is>
          <t>to 2030</t>
        </is>
      </c>
      <c r="E8" t="inlineStr">
        <is>
          <t>private credit / ALTERNATIVE capital</t>
        </is>
      </c>
      <c r="F8" s="3" t="inlineStr">
        <is>
          <t>Includes infrastructure EQUITY. Not a credit numerator.</t>
        </is>
      </c>
    </row>
    <row r="10">
      <c r="B10" s="4" t="inlineStr">
        <is>
          <t>GROSS FLOW -&gt; STANDING STOCK (the conversion that 'add $800bn to $200bn' gets wrong)</t>
        </is>
      </c>
    </row>
    <row r="11">
      <c r="B11" s="4" t="inlineStr">
        <is>
          <t>MS annual pace = $800bn / 4yr</t>
        </is>
      </c>
      <c r="C11" s="17">
        <f>Inputs!C31/Inputs!C32</f>
        <v/>
      </c>
    </row>
    <row r="12">
      <c r="B12" t="inlineStr">
        <is>
          <t>Peak standing stock, end-2028</t>
        </is>
      </c>
      <c r="C12" s="17">
        <f>$C$11*(1+(1-1/Inputs!C10)+(1-1/Inputs!C10)^2+(1-1/Inputs!C10)^3)</f>
        <v/>
      </c>
      <c r="F12" s="3" t="inlineStr">
        <is>
          <t>Four vintages 2025-28, each running off at 1/M per year.</t>
        </is>
      </c>
    </row>
    <row r="13">
      <c r="B13" t="inlineStr">
        <is>
          <t>End-2030 if originations stop after 2028</t>
        </is>
      </c>
      <c r="C13" s="17">
        <f>$C$11*((1-1/Inputs!C10)^2+(1-1/Inputs!C10)^3+(1-1/Inputs!C10)^4+(1-1/Inputs!C10)^5)</f>
        <v/>
      </c>
      <c r="F13" s="3" t="inlineStr">
        <is>
          <t>The MS window read literally.</t>
        </is>
      </c>
    </row>
    <row r="14">
      <c r="B14" t="inlineStr">
        <is>
          <t>End-2030 if the pace continues to 2030</t>
        </is>
      </c>
      <c r="C14" s="17">
        <f>$C$11*(1+(1-1/Inputs!C10)+(1-1/Inputs!C10)^2+(1-1/Inputs!C10)^3+(1-1/Inputs!C10)^4+(1-1/Inputs!C10)^5)</f>
        <v/>
      </c>
      <c r="F14" s="3" t="inlineStr">
        <is>
          <t>Six vintages 2025-30.</t>
        </is>
      </c>
    </row>
    <row r="16">
      <c r="B16" s="4" t="inlineStr">
        <is>
          <t>IF A DENOMINATOR IS SUPPLIED (illustration of an identity, NOT an estimate)</t>
        </is>
      </c>
    </row>
    <row r="17">
      <c r="A17" s="6" t="inlineStr"/>
      <c r="B17" s="6" t="inlineStr">
        <is>
          <t>Broad 2030 denominator ($bn)</t>
        </is>
      </c>
      <c r="C17" s="6" t="inlineStr">
        <is>
          <t>$800bn implies</t>
        </is>
      </c>
      <c r="D17" s="6" t="inlineStr">
        <is>
          <t>$1,000bn implies</t>
        </is>
      </c>
      <c r="E17" s="6" t="inlineStr"/>
      <c r="F17" s="6" t="inlineStr"/>
    </row>
    <row r="18">
      <c r="B18" s="21" t="n">
        <v>4500</v>
      </c>
      <c r="C18" s="22">
        <f>800/$B18</f>
        <v/>
      </c>
      <c r="D18" s="22">
        <f>1000/$B18</f>
        <v/>
      </c>
      <c r="F18" s="3" t="inlineStr">
        <is>
          <t>&lt;-- Preqin's $4.5tn. Shown ONLY to demonstrate the error: it EXCLUDES ABF, private IG and insurance SMAs by Preqin's own statement. Do not use.</t>
        </is>
      </c>
    </row>
    <row r="19">
      <c r="B19" s="23" t="n">
        <v>6000</v>
      </c>
      <c r="C19" s="19">
        <f>800/$B19</f>
        <v/>
      </c>
      <c r="D19" s="19">
        <f>1000/$B19</f>
        <v/>
      </c>
    </row>
    <row r="20">
      <c r="B20" s="23" t="n">
        <v>8000</v>
      </c>
      <c r="C20" s="19">
        <f>800/$B20</f>
        <v/>
      </c>
      <c r="D20" s="19">
        <f>1000/$B20</f>
        <v/>
      </c>
    </row>
    <row r="21">
      <c r="B21" s="23" t="n">
        <v>10000</v>
      </c>
      <c r="C21" s="19">
        <f>800/$B21</f>
        <v/>
      </c>
      <c r="D21" s="19">
        <f>1000/$B21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E20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46" customWidth="1" min="3" max="3"/>
    <col width="15" customWidth="1" min="4" max="4"/>
    <col width="62" customWidth="1" min="5" max="5"/>
  </cols>
  <sheetData>
    <row r="2">
      <c r="B2" s="5" t="inlineStr">
        <is>
          <t>SOURCES AND VERIFICATION STATUS</t>
        </is>
      </c>
    </row>
    <row r="4">
      <c r="A4" s="6" t="inlineStr"/>
      <c r="B4" s="6" t="inlineStr">
        <is>
          <t>Source</t>
        </is>
      </c>
      <c r="C4" s="6" t="inlineStr">
        <is>
          <t>What it supplies</t>
        </is>
      </c>
      <c r="D4" s="6" t="inlineStr">
        <is>
          <t>Status</t>
        </is>
      </c>
      <c r="E4" s="6" t="inlineStr">
        <is>
          <t>Note</t>
        </is>
      </c>
    </row>
    <row r="5">
      <c r="B5" s="3" t="inlineStr">
        <is>
          <t>J.P. Morgan, AI Capex 2.0 (Jun-26)</t>
        </is>
      </c>
      <c r="C5" s="3" t="inlineStr">
        <is>
          <t>Drawdown AUM $1.81tn; Tech 22%; KBRA software 21%; $1.4tn call</t>
        </is>
      </c>
      <c r="D5" s="24" t="inlineStr">
        <is>
          <t>VERIFIED</t>
        </is>
      </c>
      <c r="E5" s="3" t="inlineStr">
        <is>
          <t>PDF held in research/. Page refs in the section.</t>
        </is>
      </c>
    </row>
    <row r="6">
      <c r="B6" s="3" t="inlineStr">
        <is>
          <t>Morgan Stanley, $1.5tn Financing Gap (Jul-25)</t>
        </is>
      </c>
      <c r="C6" s="3" t="inlineStr">
        <is>
          <t>$800bn private credit; $2.9tn spend; 70/30 split</t>
        </is>
      </c>
      <c r="D6" s="24" t="inlineStr">
        <is>
          <t>VERIFIED</t>
        </is>
      </c>
      <c r="E6" s="3" t="inlineStr">
        <is>
          <t>Decomposition reproduces to 0.6%.</t>
        </is>
      </c>
    </row>
    <row r="7">
      <c r="B7" s="3" t="inlineStr">
        <is>
          <t>Morgan Stanley, Mapping Software Exposure (Feb-26)</t>
        </is>
      </c>
      <c r="C7" s="3" t="inlineStr">
        <is>
          <t>26% software+IT services across 42 public BDCs</t>
        </is>
      </c>
      <c r="D7" s="24" t="inlineStr">
        <is>
          <t>VERIFIED</t>
        </is>
      </c>
      <c r="E7" s="3" t="inlineStr">
        <is>
          <t>PDF held in research/.</t>
        </is>
      </c>
    </row>
    <row r="8">
      <c r="B8" s="3" t="inlineStr">
        <is>
          <t>Morgan Stanley, Investor Feedback (Jul-26)</t>
        </is>
      </c>
      <c r="C8" s="3" t="inlineStr">
        <is>
          <t>$217/$336/$580bn AI issuance; ABS/CMBS shares</t>
        </is>
      </c>
      <c r="D8" s="24" t="inlineStr">
        <is>
          <t>VERIFIED</t>
        </is>
      </c>
      <c r="E8" s="3" t="inlineStr">
        <is>
          <t>NOTE: this tracker has NO private-credit column.</t>
        </is>
      </c>
    </row>
    <row r="9">
      <c r="B9" s="3" t="inlineStr">
        <is>
          <t>Apollo, 2026 Midyear Credit Outlook (Aug-26)</t>
        </is>
      </c>
      <c r="C9" s="3" t="inlineStr">
        <is>
          <t>Private IG &gt;$1tn; $90bn IG backstops</t>
        </is>
      </c>
      <c r="D9" s="24" t="inlineStr">
        <is>
          <t>VERIFIED</t>
        </is>
      </c>
      <c r="E9" s="3" t="inlineStr">
        <is>
          <t>PDF held in research/.</t>
        </is>
      </c>
    </row>
    <row r="10">
      <c r="B10" s="3" t="inlineStr">
        <is>
          <t>Preqin, Private Markets in 2030 (Oct-25)</t>
        </is>
      </c>
      <c r="C10" s="3" t="inlineStr">
        <is>
          <t>$2.1tn-&gt;$4.5tn AUM; DL 11.2% CAGR; exclusions</t>
        </is>
      </c>
      <c r="D10" s="24" t="inlineStr">
        <is>
          <t>VERIFIED</t>
        </is>
      </c>
      <c r="E10" s="3" t="inlineStr">
        <is>
          <t>The stated exclusion of ABF/private IG/insurance SMA is the key finding.</t>
        </is>
      </c>
    </row>
    <row r="11">
      <c r="B11" s="3" t="inlineStr">
        <is>
          <t>Preqin, BDCs Examined (Jul-26)</t>
        </is>
      </c>
      <c r="C11" s="3" t="inlineStr">
        <is>
          <t>$500bn GAV / $250bn NAV; 188 vehicles</t>
        </is>
      </c>
      <c r="D11" s="24" t="inlineStr">
        <is>
          <t>VERIFIED</t>
        </is>
      </c>
      <c r="E11" s="3" t="inlineStr">
        <is>
          <t>PDF held in research/.</t>
        </is>
      </c>
    </row>
    <row r="12">
      <c r="B12" s="3" t="inlineStr">
        <is>
          <t>Preqin, Private Credit Q2 2026 (Jul-26)</t>
        </is>
      </c>
      <c r="C12" s="3" t="inlineStr">
        <is>
          <t>$99bn Q2 fundraising; BDC gates; AI-software concern</t>
        </is>
      </c>
      <c r="D12" s="24" t="inlineStr">
        <is>
          <t>VERIFIED</t>
        </is>
      </c>
      <c r="E12" s="3" t="inlineStr">
        <is>
          <t>PDF held in research/.</t>
        </is>
      </c>
    </row>
    <row r="13">
      <c r="B13" s="3" t="inlineStr">
        <is>
          <t>BIS Bulletin 120 (Jan-26)</t>
        </is>
      </c>
      <c r="C13" s="3" t="inlineStr">
        <is>
          <t>$200bn / 8%; &gt;$40bn originations; 4.7yr maturity; $300-600bn 2030</t>
        </is>
      </c>
      <c r="D13" s="25" t="inlineStr">
        <is>
          <t>NOT VERIFIED</t>
        </is>
      </c>
      <c r="E13" s="3" t="inlineStr">
        <is>
          <t>External link only. THE ENTIRE NARROW MEASUREMENT DEPENDS ON THIS. Obtain before IC.</t>
        </is>
      </c>
    </row>
    <row r="14">
      <c r="B14" s="3" t="inlineStr">
        <is>
          <t>BIS Quarterly Review (Mar-26)</t>
        </is>
      </c>
      <c r="C14" s="3" t="inlineStr">
        <is>
          <t>SaaS 19% of direct loans; software selloff evidence</t>
        </is>
      </c>
      <c r="D14" s="25" t="inlineStr">
        <is>
          <t>NOT VERIFIED</t>
        </is>
      </c>
      <c r="E14" s="3" t="inlineStr">
        <is>
          <t>External link only.</t>
        </is>
      </c>
    </row>
    <row r="15">
      <c r="B15" s="3" t="inlineStr">
        <is>
          <t>BIS Bulletin 128 (Jul-26)</t>
        </is>
      </c>
      <c r="C15" s="3" t="inlineStr">
        <is>
          <t>BDC software ~$115bn / ~20%; top-5 37%; 7+ BDC overlap</t>
        </is>
      </c>
      <c r="D15" s="25" t="inlineStr">
        <is>
          <t>NOT VERIFIED</t>
        </is>
      </c>
      <c r="E15" s="3" t="inlineStr">
        <is>
          <t>External link only.</t>
        </is>
      </c>
    </row>
    <row r="16">
      <c r="B16" s="3" t="inlineStr">
        <is>
          <t>OECD Global Debt Report 2026</t>
        </is>
      </c>
      <c r="C16" s="3" t="inlineStr">
        <is>
          <t>AI 34% of 2025 deal value; 9% in 2024</t>
        </is>
      </c>
      <c r="D16" s="25" t="inlineStr">
        <is>
          <t>NOT VERIFIED</t>
        </is>
      </c>
      <c r="E16" s="3" t="inlineStr">
        <is>
          <t>External link only. Used as a RANGE for sigma, not a measurement.</t>
        </is>
      </c>
    </row>
    <row r="17">
      <c r="B17" s="3" t="inlineStr">
        <is>
          <t>FSB, Vulnerabilities in Private Credit (May-26)</t>
        </is>
      </c>
      <c r="C17" s="3" t="inlineStr">
        <is>
          <t>AI 34% of 2025 deals vs 17% five-year average</t>
        </is>
      </c>
      <c r="D17" s="25" t="inlineStr">
        <is>
          <t>NOT VERIFIED</t>
        </is>
      </c>
      <c r="E17" s="3" t="inlineStr">
        <is>
          <t>External link only. The 17% five-year average is FSB, NOT OECD.</t>
        </is>
      </c>
    </row>
    <row r="18">
      <c r="B18" s="3" t="inlineStr">
        <is>
          <t>Federal Reserve FSR (May-26)</t>
        </is>
      </c>
      <c r="C18" s="3" t="inlineStr">
        <is>
          <t>$425bn gross / $241bn net semi-liquid vehicles</t>
        </is>
      </c>
      <c r="D18" s="25" t="inlineStr">
        <is>
          <t>NOT VERIFIED</t>
        </is>
      </c>
      <c r="E18" s="3" t="inlineStr">
        <is>
          <t>External link only. Corroborates the 1.76-2.0x gross-to-net used in the D0 rebuild.</t>
        </is>
      </c>
    </row>
    <row r="19">
      <c r="B19" s="3" t="inlineStr">
        <is>
          <t>IMF GFSR (Apr-26)</t>
        </is>
      </c>
      <c r="C19" s="3" t="inlineStr">
        <is>
          <t>Software &gt;50% of NAV; BDC buffers 5-7 quarters</t>
        </is>
      </c>
      <c r="D19" s="25" t="inlineStr">
        <is>
          <t>NOT VERIFIED</t>
        </is>
      </c>
      <c r="E19" s="3" t="inlineStr">
        <is>
          <t>External link only.</t>
        </is>
      </c>
    </row>
    <row r="20">
      <c r="B20" s="3" t="inlineStr">
        <is>
          <t>PRIOR DRAFT</t>
        </is>
      </c>
      <c r="C20" s="3" t="inlineStr">
        <is>
          <t>'AI originations were ~4% of total direct-loan originations'</t>
        </is>
      </c>
      <c r="D20" s="26" t="inlineStr">
        <is>
          <t>UNCORROBORATED</t>
        </is>
      </c>
      <c r="E20" s="3" t="inlineStr">
        <is>
          <t>Appears nowhere in this workspace's independent evidence notes. No conclusion depends on it.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E1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6" customWidth="1" min="3" max="3"/>
    <col width="30" customWidth="1" min="4" max="4"/>
    <col width="60" customWidth="1" min="5" max="5"/>
  </cols>
  <sheetData>
    <row r="2">
      <c r="B2" s="5" t="inlineStr">
        <is>
          <t>DATA STILL REQUIRED</t>
        </is>
      </c>
    </row>
    <row r="3">
      <c r="B3" s="2" t="inlineStr">
        <is>
          <t>Ordered by effect on the published answer.</t>
        </is>
      </c>
    </row>
    <row r="5">
      <c r="A5" s="6" t="inlineStr"/>
      <c r="B5" s="6" t="inlineStr">
        <is>
          <t>Input</t>
        </is>
      </c>
      <c r="C5" s="6" t="inlineStr">
        <is>
          <t>Cell</t>
        </is>
      </c>
      <c r="D5" s="6" t="inlineStr">
        <is>
          <t>Effect on the answer</t>
        </is>
      </c>
      <c r="E5" s="6" t="inlineStr">
        <is>
          <t>Where to get it</t>
        </is>
      </c>
    </row>
    <row r="6">
      <c r="B6" s="3" t="inlineStr">
        <is>
          <t>Broad-cohort 2030 denominator</t>
        </is>
      </c>
      <c r="C6" t="inlineStr">
        <is>
          <t>Inputs!C35</t>
        </is>
      </c>
      <c r="D6" s="3" t="inlineStr">
        <is>
          <t>BLOCKING - the broad sleeve has no percentage without it</t>
        </is>
      </c>
      <c r="E6" s="3" t="inlineStr">
        <is>
          <t>Not published. Build from ABF + private IG + insurance SMA + direct lending, or obtain MS Exhibit 11 ABF TAM.</t>
        </is>
      </c>
    </row>
    <row r="7">
      <c r="B7" s="3" t="inlineStr">
        <is>
          <t>AI share of originations, quarterly</t>
        </is>
      </c>
      <c r="C7" t="inlineStr">
        <is>
          <t>Origination_Convergence row inputs</t>
        </is>
      </c>
      <c r="D7" s="3" t="inlineStr">
        <is>
          <t>Drives the entire 4-20% span</t>
        </is>
      </c>
      <c r="E7" s="3" t="inlineStr">
        <is>
          <t>Deal tapes; BDC 10-Q loan schedules. The single highest-value series.</t>
        </is>
      </c>
    </row>
    <row r="8">
      <c r="B8" s="3" t="inlineStr">
        <is>
          <t>House loan-level b and d scores</t>
        </is>
      </c>
      <c r="C8" t="inlineStr">
        <is>
          <t>n/a - replaces the model</t>
        </is>
      </c>
      <c r="D8" s="3" t="inlineStr">
        <is>
          <t>Replaces every market proxy with the actual book</t>
        </is>
      </c>
      <c r="E8" s="3" t="inlineStr">
        <is>
          <t>Internal. Highest value of any input here.</t>
        </is>
      </c>
    </row>
    <row r="9">
      <c r="B9" s="3" t="inlineStr">
        <is>
          <t>Preqin Fig 4.1 sub-strategy data pack</t>
        </is>
      </c>
      <c r="C9" t="inlineStr">
        <is>
          <t>Inputs!C12, C8</t>
        </is>
      </c>
      <c r="D9" s="3" t="inlineStr">
        <is>
          <t>Splits BDC from closed-end DL; confirms GAV vs NAV basis</t>
        </is>
      </c>
      <c r="E9" s="3" t="inlineStr">
        <is>
          <t>Preqin Pro subscription.</t>
        </is>
      </c>
    </row>
    <row r="10">
      <c r="B10" s="3" t="inlineStr">
        <is>
          <t>Drawdown-fund leverage, actual</t>
        </is>
      </c>
      <c r="C10" t="inlineStr">
        <is>
          <t>Inputs!C29</t>
        </is>
      </c>
      <c r="D10" s="3" t="inlineStr">
        <is>
          <t>Currently a 0.57x INFERENCE - the soft joint in D0</t>
        </is>
      </c>
      <c r="E10" s="3" t="inlineStr">
        <is>
          <t>Not published. Fund financial statements or manager disclosure.</t>
        </is>
      </c>
    </row>
    <row r="11">
      <c r="B11" s="3" t="inlineStr">
        <is>
          <t>Morgan Stanley ABF TAM (Exhibit 11)</t>
        </is>
      </c>
      <c r="C11" t="inlineStr">
        <is>
          <t>Inputs!C35</t>
        </is>
      </c>
      <c r="D11" s="3" t="inlineStr">
        <is>
          <t>Would supply the broad denominator directly</t>
        </is>
      </c>
      <c r="E11" s="3" t="inlineStr">
        <is>
          <t>Chart is not machine-readable in the local PDF. Request the data pack.</t>
        </is>
      </c>
    </row>
    <row r="12">
      <c r="B12" s="3" t="inlineStr">
        <is>
          <t>2026 actual private credit AUM</t>
        </is>
      </c>
      <c r="C12" t="inlineStr">
        <is>
          <t>Inputs!C15</t>
        </is>
      </c>
      <c r="D12" s="3" t="inlineStr">
        <is>
          <t>Preqin's Q2-26 chart is dated Jul-2026 but prints no value</t>
        </is>
      </c>
      <c r="E12" s="3" t="inlineStr">
        <is>
          <t>Preqin Pro.</t>
        </is>
      </c>
    </row>
    <row r="13">
      <c r="B13" s="3" t="inlineStr">
        <is>
          <t>ABS/CMBS take-out rate from private credit</t>
        </is>
      </c>
      <c r="C13" t="inlineStr">
        <is>
          <t>n/a - section 3.6</t>
        </is>
      </c>
      <c r="D13" s="3" t="inlineStr">
        <is>
          <t>Determines whether a FALLING weight is good or bad news</t>
        </is>
      </c>
      <c r="E13" s="3" t="inlineStr">
        <is>
          <t>Not quantified by any source. Track named construction loans to securitisation.</t>
        </is>
      </c>
    </row>
    <row r="14">
      <c r="B14" s="3" t="inlineStr">
        <is>
          <t>The three BIS publications</t>
        </is>
      </c>
      <c r="C14" t="inlineStr">
        <is>
          <t>Inputs!C6, C7, C10, C11, C17-C19</t>
        </is>
      </c>
      <c r="D14" s="3" t="inlineStr">
        <is>
          <t>The entire narrow measurement rests on them</t>
        </is>
      </c>
      <c r="E14" s="3" t="inlineStr">
        <is>
          <t>bis.org - free. Verify line-by-line before the paper circulates.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2026-08-19T00:50:00Z</dcterms:created>
  <dcterms:modified xmlns:dcterms="http://purl.org/dc/terms/" xmlns:xsi="http://www.w3.org/2001/XMLSchema-instance" xsi:type="dcterms:W3CDTF">2026-08-19T00:50:00Z</dcterms:modified>
</cp:coreProperties>
</file>