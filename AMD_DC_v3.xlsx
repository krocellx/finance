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d.docs.live.net/2abe6725bcf0a897/Investing/Fundamental/AMD/revenue_modelling/"/>
    </mc:Choice>
  </mc:AlternateContent>
  <xr:revisionPtr revIDLastSave="0" documentId="11_5CD78E78CB8F63E0B4D1975807B4CCA1DCADA3F1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00 Methodology" sheetId="1" r:id="rId1"/>
    <sheet name="01 Disclosure Log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2" l="1"/>
  <c r="F129" i="2"/>
  <c r="H129" i="2" s="1"/>
  <c r="F128" i="2"/>
  <c r="H128" i="2" s="1"/>
  <c r="F127" i="2"/>
  <c r="H127" i="2" s="1"/>
  <c r="F126" i="2"/>
  <c r="H126" i="2" s="1"/>
  <c r="F125" i="2"/>
  <c r="H125" i="2" s="1"/>
  <c r="F124" i="2"/>
  <c r="H124" i="2" s="1"/>
  <c r="F123" i="2"/>
  <c r="H123" i="2" s="1"/>
  <c r="F122" i="2"/>
  <c r="H122" i="2" s="1"/>
  <c r="F121" i="2"/>
  <c r="H121" i="2" s="1"/>
  <c r="F120" i="2"/>
  <c r="H120" i="2" s="1"/>
  <c r="F119" i="2"/>
  <c r="H119" i="2" s="1"/>
  <c r="C131" i="2" s="1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D70" i="1"/>
</calcChain>
</file>

<file path=xl/sharedStrings.xml><?xml version="1.0" encoding="utf-8"?>
<sst xmlns="http://schemas.openxmlformats.org/spreadsheetml/2006/main" count="599" uniqueCount="467">
  <si>
    <t>AMD  -  DATA CENTER REVENUE MODEL  -  v3</t>
  </si>
  <si>
    <t>Methodology and build map   |   fresh build   |   created 2026-08-09</t>
  </si>
  <si>
    <t>Read this sheet top to bottom. Every later sheet is one step below. Nothing gets built until the step above it is agreed.</t>
  </si>
  <si>
    <t xml:space="preserve">  A   THE FRAME  -  what we are modelling and why it splits three ways</t>
  </si>
  <si>
    <t>A.1  Scope</t>
  </si>
  <si>
    <t>In scope</t>
  </si>
  <si>
    <t>Out of scope</t>
  </si>
  <si>
    <t>Object</t>
  </si>
  <si>
    <t>AMD Data Center segment revenue, quarterly, in $M</t>
  </si>
  <si>
    <t>Margins, opex, EPS, share count</t>
  </si>
  <si>
    <t>Other segments</t>
  </si>
  <si>
    <t>Not modelled here. Client / Gaming / Embedded are ~30% of revenue with low dispersion and no available information edge.</t>
  </si>
  <si>
    <t>Bolt on later if wanted</t>
  </si>
  <si>
    <t>Horizon</t>
  </si>
  <si>
    <t>8 forecast quarters at full detail, then annual</t>
  </si>
  <si>
    <t>Anything beyond that is a scenario, not a forecast</t>
  </si>
  <si>
    <t>A.2  The identity everything hangs off</t>
  </si>
  <si>
    <t xml:space="preserve">   DC(t)  =  EPYC(t)  +  MI(t)  +  Other(t)</t>
  </si>
  <si>
    <t xml:space="preserve">        Reported DC is exact and public. The three-way split is our estimate - AMD has never disclosed it.</t>
  </si>
  <si>
    <t>Two different disciplines apply either side of today:</t>
  </si>
  <si>
    <t>Period</t>
  </si>
  <si>
    <t>Rule</t>
  </si>
  <si>
    <t>Consequence</t>
  </si>
  <si>
    <t>History (through Q2'26)</t>
  </si>
  <si>
    <t>The three legs MUST sum to reported DC. This is a hard constraint, not a check.</t>
  </si>
  <si>
    <t>We solve for the split. We do not guess it leg by leg.</t>
  </si>
  <si>
    <t>Forecast (Q3'26 on)</t>
  </si>
  <si>
    <t>Each leg is built forward independently. DC is the output, not an input.</t>
  </si>
  <si>
    <t>No plug, no residual, no reconciling item.</t>
  </si>
  <si>
    <t>A.3  Why exactly three legs</t>
  </si>
  <si>
    <t>Not because they are three product lines - because they sit in three completely different information environments.</t>
  </si>
  <si>
    <t>The modelling form for each leg is chosen to match what can actually be observed about it.</t>
  </si>
  <si>
    <t>Leg</t>
  </si>
  <si>
    <t>What is in it</t>
  </si>
  <si>
    <t>Share of DC</t>
  </si>
  <si>
    <t>What is observable</t>
  </si>
  <si>
    <t>Therefore modelled as</t>
  </si>
  <si>
    <t>1.  EPYC</t>
  </si>
  <si>
    <t>Server CPU: Turin (Zen 5), Genoa, and Venice (Zen 6, 2nm) ramping from H2'26</t>
  </si>
  <si>
    <t>~55-62%
(step 2 pins it)</t>
  </si>
  <si>
    <t>Mercury Research x86 server share - revenue AND units, measured quarterly.
Intel DCAI revenue, reported.
Management growth floors.</t>
  </si>
  <si>
    <t>Chain from T-1.
Growth split into market growth x share change.</t>
  </si>
  <si>
    <t>2.  MI  (Instinct)</t>
  </si>
  <si>
    <t>MI355X merchant + China MI308 + MI450 / Helios contracted rack business</t>
  </si>
  <si>
    <t>~36-42%
(step 2 pins it)</t>
  </si>
  <si>
    <t>GW commitments - announced per customer.
Rack power and GPU count - published.
$ per GW - management.
Warrant vesting - 10-Q, audited.</t>
  </si>
  <si>
    <t>Two sub-legs.
Merchant: chain from T-1.
Contracted: GW x $ per GW.</t>
  </si>
  <si>
    <t>3.  Other DC</t>
  </si>
  <si>
    <t>Pensando / Pollara networking, retained ZT design services, datacenter FPGA and adaptive SoC</t>
  </si>
  <si>
    <t>~2%</t>
  </si>
  <si>
    <t>Almost nothing. No sub-line is ever disclosed.</t>
  </si>
  <si>
    <t>One sequential growth rate. Deliberately crude - it cannot move the answer.</t>
  </si>
  <si>
    <t>Rule of proportionality: leg 3 is ~2% of DC. It gets one input. Effort goes where the dispersion is.</t>
  </si>
  <si>
    <t xml:space="preserve">  B   HOW EACH LEG WORKS  -  the three engines</t>
  </si>
  <si>
    <t>B.1  Leg 1  -  EPYC  -  chain from last quarter, growth split into market and share</t>
  </si>
  <si>
    <t>We never build a TAM and multiply back into it. A TAM calibrated from AMD's own revenue divided by AMD's own</t>
  </si>
  <si>
    <t>share is circular - the TAM level and the x86 mix cancel exactly, so it adds no information while looking rigorous.</t>
  </si>
  <si>
    <t>Instead we chain forward from the last known quarter, and split the growth into the two things that drive it:</t>
  </si>
  <si>
    <t xml:space="preserve">   EPYC(t)  =  EPYC(t-1)  x  (1 + m)  x  ( s(t) / s(t-1) )</t>
  </si>
  <si>
    <t>Term</t>
  </si>
  <si>
    <t>What it is</t>
  </si>
  <si>
    <t>Anchored to</t>
  </si>
  <si>
    <t>Who sets it</t>
  </si>
  <si>
    <t>Why this is the right primitive</t>
  </si>
  <si>
    <t>EPYC(t-1)</t>
  </si>
  <si>
    <t>Last quarter's EPYC revenue</t>
  </si>
  <si>
    <t>Step 2 historical split</t>
  </si>
  <si>
    <t>Solved, not assumed</t>
  </si>
  <si>
    <t>Everything chains off it - which is why step 2 comes before this.</t>
  </si>
  <si>
    <t>m</t>
  </si>
  <si>
    <t>x86 server CPU market revenue growth, sequential</t>
  </si>
  <si>
    <t>Intel DCAI revenue + AMD server revenue, both reported. Cross-check vs AMD's &gt;50%/yr to ~$220bn by 2030.</t>
  </si>
  <si>
    <t>You</t>
  </si>
  <si>
    <t>Uses two reported numbers instead of one invented one.</t>
  </si>
  <si>
    <t>s(t)</t>
  </si>
  <si>
    <t>AMD share of x86 server CPU REVENUE</t>
  </si>
  <si>
    <t>Mercury Research. Q1'26 = 46.2% revenue / 33.2% units.</t>
  </si>
  <si>
    <t>The only independently measured input in the whole model. Back-testable every quarter.</t>
  </si>
  <si>
    <t>Track revenue share and unit share separately. The gap between them (46.2% vs 33.2%) IS the ASP / mix signal -</t>
  </si>
  <si>
    <t>and it is where the Venice vs Intel Diamond Rapids call shows up. Diamond Rapids has slipped to mid-2027.</t>
  </si>
  <si>
    <t>Guardrails - the model must clear these or we write down why not:</t>
  </si>
  <si>
    <t>Guardrail</t>
  </si>
  <si>
    <t>Source</t>
  </si>
  <si>
    <t>Test</t>
  </si>
  <si>
    <t>Server revenue +80% YoY in H2'26</t>
  </si>
  <si>
    <t>Lisa Su, Q2'26 call</t>
  </si>
  <si>
    <t>H2'26 EPYC / H2'25 EPYC  &gt;=  1.80</t>
  </si>
  <si>
    <t>Server revenue +70% YoY in FY27</t>
  </si>
  <si>
    <t>FY27 EPYC / FY26 EPYC  &gt;=  1.70</t>
  </si>
  <si>
    <t>Reproduces recent history</t>
  </si>
  <si>
    <t>Our own step 2 output</t>
  </si>
  <si>
    <t>Formula rebuilds the last 2 reported quarters within 3%</t>
  </si>
  <si>
    <t>B.2  Leg 2  -  MI family  -  split merchant from contracted, then price the contracted part in gigawatts</t>
  </si>
  <si>
    <t>These two halves behave nothing alike, so they do not share an equation.</t>
  </si>
  <si>
    <t xml:space="preserve">   MI(t)  =  MI_merchant(t)  +  MI_contracted(t)</t>
  </si>
  <si>
    <t>2a.   Merchant  -  MI355X installed-base growth plus China MI308</t>
  </si>
  <si>
    <t xml:space="preserve">   MI_merchant(t)  =  MI_merchant(t-1)  x  (1 + h)   +   China(t)</t>
  </si>
  <si>
    <t xml:space="preserve">        No disclosure exists on this line, so anchoring to last quarter and growing it is the honest treatment. China stays a separate binary line.</t>
  </si>
  <si>
    <t>2b.   Contracted  -  MI450 / Helios.  This is the leg that decides the answer.</t>
  </si>
  <si>
    <t>AMD does not sell these in units - it contracts in GIGAWATTS. So we model in gigawatts and convert.</t>
  </si>
  <si>
    <t xml:space="preserve">   MI_contracted(t)  =  GW_recognised(t)  x  $ per GW</t>
  </si>
  <si>
    <t>The conversion is built from published hardware specs, not from a guess:</t>
  </si>
  <si>
    <t>Bridge step</t>
  </si>
  <si>
    <t>Value</t>
  </si>
  <si>
    <t>Note</t>
  </si>
  <si>
    <t>Helios rack</t>
  </si>
  <si>
    <t>72 x MI455X GPUs</t>
  </si>
  <si>
    <t>AMD / press</t>
  </si>
  <si>
    <t>900W per GPU</t>
  </si>
  <si>
    <t>Rack power</t>
  </si>
  <si>
    <t>225 - 245 kW   -&gt;   use 235 kW</t>
  </si>
  <si>
    <t>Published spec</t>
  </si>
  <si>
    <t>Liquid cooled, 50V bus bar</t>
  </si>
  <si>
    <t>Racks per GW</t>
  </si>
  <si>
    <t>1,000,000 / 235  =  ~4,255</t>
  </si>
  <si>
    <t>Arithmetic</t>
  </si>
  <si>
    <t>GW here = IT power</t>
  </si>
  <si>
    <t>GPUs per GW</t>
  </si>
  <si>
    <t>4,255 x 72  =  ~306,000</t>
  </si>
  <si>
    <t>Sanity handle for the supply check</t>
  </si>
  <si>
    <t>Rack ASP</t>
  </si>
  <si>
    <t>$3.0M  /  $3.5M  /  $4.5M</t>
  </si>
  <si>
    <t>Your estimate</t>
  </si>
  <si>
    <t>Bear / base / bull</t>
  </si>
  <si>
    <t>$ per GW</t>
  </si>
  <si>
    <t>$12.8bn  /  $14.9bn  /  $19.1bn</t>
  </si>
  <si>
    <t>Ties to Su: 'double-digit billions per GW'</t>
  </si>
  <si>
    <t>GW_recognised(t) comes from an explicit dated schedule - one row per customer, not one blended number:</t>
  </si>
  <si>
    <t>Customer</t>
  </si>
  <si>
    <t>Committed</t>
  </si>
  <si>
    <t>Announced timing</t>
  </si>
  <si>
    <t>What we set</t>
  </si>
  <si>
    <t>OpenAI</t>
  </si>
  <si>
    <t>6 GW multi-generation</t>
  </si>
  <si>
    <t>1st GW on MI450, H2'26</t>
  </si>
  <si>
    <t>Slip in quarters, and the spread of GW across quarters</t>
  </si>
  <si>
    <t>Meta</t>
  </si>
  <si>
    <t>Same</t>
  </si>
  <si>
    <t>Anthropic</t>
  </si>
  <si>
    <t>up to 2 GW</t>
  </si>
  <si>
    <t>1st GW H1'27</t>
  </si>
  <si>
    <t>Oracle / OCI</t>
  </si>
  <si>
    <t>50,000 MI450 GPUs (~0.16 GW)</t>
  </si>
  <si>
    <t>from Q3'26</t>
  </si>
  <si>
    <t>May sit inside OpenAI's allocation - do not double count</t>
  </si>
  <si>
    <t>Microsoft Azure</t>
  </si>
  <si>
    <t>unquantified</t>
  </si>
  <si>
    <t>Helios 'at scale'</t>
  </si>
  <si>
    <t>Judgement line</t>
  </si>
  <si>
    <t>Other / sub-GW</t>
  </si>
  <si>
    <t>Q4'26 onward</t>
  </si>
  <si>
    <t>Why gigawatts and not a dollar run-rate: every input above is falsifiable against a press release.</t>
  </si>
  <si>
    <t>A '$4.5bn per quarter exit run-rate' cannot be argued with. '0.30 GW recognised in Q2'27' can.</t>
  </si>
  <si>
    <t>Three cross-checks, all free and all external:</t>
  </si>
  <si>
    <t>Check</t>
  </si>
  <si>
    <t>What it tests</t>
  </si>
  <si>
    <t>Where it comes from</t>
  </si>
  <si>
    <t>Warrant tranche vesting</t>
  </si>
  <si>
    <t>Are OpenAI / Meta actually buying at the contracted pace?</t>
  </si>
  <si>
    <t>10-Q. Vests on specified Instinct GPU purchase milestones. As of 27-Jun-26: ZERO vested.</t>
  </si>
  <si>
    <t>Supply ceiling</t>
  </si>
  <si>
    <t>Can AMD physically build the GPUs the schedule implies?</t>
  </si>
  <si>
    <t>CoWoS-L allocation x dies per wafer x yield, and HBM4 stacks / stacks per GPU. Flag, do not cap.</t>
  </si>
  <si>
    <t>Share of merchant accelerators</t>
  </si>
  <si>
    <t>Is the number sane against the market?</t>
  </si>
  <si>
    <t>AMD MI / (NVDA data center revenue + AMD MI + other). NVDA alone ran $75.2bn in the Apr-26 quarter.</t>
  </si>
  <si>
    <t>B.3  Leg 3  -  Other DC  -  deliberately one line</t>
  </si>
  <si>
    <t xml:space="preserve">   Other(t)  =  Other(t-1)  x  (1 + k)</t>
  </si>
  <si>
    <t>Networking + ZT design + datacenter FPGA. ~2% of DC and never disclosed separately. One growth rate is the correct amount of effort.</t>
  </si>
  <si>
    <t xml:space="preserve">  C   BUILD ORDER  -  what gets built, in what sequence</t>
  </si>
  <si>
    <t>Steps 1 and 2 come first because legs 1 and 2 both chain off T-1. Until the split of history is settled, nothing downstream can be right.</t>
  </si>
  <si>
    <t>Step</t>
  </si>
  <si>
    <t>Sheet</t>
  </si>
  <si>
    <t>What it does</t>
  </si>
  <si>
    <t>Depends on</t>
  </si>
  <si>
    <t>Status</t>
  </si>
  <si>
    <t>0</t>
  </si>
  <si>
    <t>00 Methodology</t>
  </si>
  <si>
    <t>This sheet. The frame and the equations.</t>
  </si>
  <si>
    <t>-</t>
  </si>
  <si>
    <t>DONE</t>
  </si>
  <si>
    <t>1</t>
  </si>
  <si>
    <t>01 Disclosure Log</t>
  </si>
  <si>
    <t>Every quantitative AND qualitative statement AMD has made about DC, by quarter, with source. Raw material for the constraints in step 2.</t>
  </si>
  <si>
    <t>Step 0</t>
  </si>
  <si>
    <t>NEXT</t>
  </si>
  <si>
    <t>2</t>
  </si>
  <si>
    <t>02 Historical Split</t>
  </si>
  <si>
    <t>Solve EPYC / MI / Other by quarter, Q3'24 to Q2'26. Constrained estimate with a low-base-high band, not a point.</t>
  </si>
  <si>
    <t>Step 1</t>
  </si>
  <si>
    <t>queued</t>
  </si>
  <si>
    <t>3</t>
  </si>
  <si>
    <t>03 EPYC Build</t>
  </si>
  <si>
    <t>Forward chain. Market growth x share. Guardrail tests.</t>
  </si>
  <si>
    <t>Step 2</t>
  </si>
  <si>
    <t>4</t>
  </si>
  <si>
    <t>04 MI Build</t>
  </si>
  <si>
    <t>Merchant chain + GW schedule x $ per GW. Supply flag.</t>
  </si>
  <si>
    <t>5</t>
  </si>
  <si>
    <t>05 Other Build</t>
  </si>
  <si>
    <t>One growth rate.</t>
  </si>
  <si>
    <t>6</t>
  </si>
  <si>
    <t>06 DC Summary</t>
  </si>
  <si>
    <t>Sum the legs. Every check in one place.</t>
  </si>
  <si>
    <t>Steps 3-5</t>
  </si>
  <si>
    <t>7</t>
  </si>
  <si>
    <t>07 Output</t>
  </si>
  <si>
    <t>Whatever format the main model wants. Decided last, on purpose.</t>
  </si>
  <si>
    <t>Step 6</t>
  </si>
  <si>
    <t>C.1  Step 2 in detail  -  how we solve the historical split</t>
  </si>
  <si>
    <t>This is the piece of work almost nobody does properly, so it is worth doing properly. Four constraints, applied in order:</t>
  </si>
  <si>
    <t>#</t>
  </si>
  <si>
    <t>Constraint</t>
  </si>
  <si>
    <t>Type</t>
  </si>
  <si>
    <t>Example (Q2'26)</t>
  </si>
  <si>
    <t>The legs sum to reported DC</t>
  </si>
  <si>
    <t>HARD - exact</t>
  </si>
  <si>
    <t>EPYC + MI + Other = $6,718M</t>
  </si>
  <si>
    <t>Management's growth qualifiers</t>
  </si>
  <si>
    <t>Inequalities</t>
  </si>
  <si>
    <t>EPYC YoY &gt;= +70%.  MI YoY &gt;= +100%.  And they said 'more than doubled' for MI but only '&gt;70%' for EPYC in the same breath - so EPYC is very likely under +100%.</t>
  </si>
  <si>
    <t>Mercury share x x86 market</t>
  </si>
  <si>
    <t>Band</t>
  </si>
  <si>
    <t>An independent read on the EPYC level, from measured share data</t>
  </si>
  <si>
    <t>Continuity</t>
  </si>
  <si>
    <t>Plausibility</t>
  </si>
  <si>
    <t>No unexplained 40% collapses or 74% jumps in a business AMD calls a record every quarter</t>
  </si>
  <si>
    <t>Output of step 2 is a LOW / BASE / HIGH series for each leg - carrying the uncertainty forward instead of pretending it away.</t>
  </si>
  <si>
    <t>Where constraints conflict, we record which one we relaxed and why. That log is the audit trail.</t>
  </si>
  <si>
    <t xml:space="preserve">  D   RULES OF THE BUILD</t>
  </si>
  <si>
    <t>Why</t>
  </si>
  <si>
    <t>1.  Every driver names its external anchor, or is labelled JUDGEMENT.</t>
  </si>
  <si>
    <t>So you always know which numbers are evidence and which are your opinion. Both are allowed; confusing them is not.</t>
  </si>
  <si>
    <t>2.  No TAM that is calibrated from AMD's own revenue.</t>
  </si>
  <si>
    <t>It cancels out algebraically and adds zero information while looking rigorous.</t>
  </si>
  <si>
    <t>3.  No units x ASP where units are not disclosed.</t>
  </si>
  <si>
    <t>AMD gives neither for EPYC nor Instinct. A unit build there is false precision.</t>
  </si>
  <si>
    <t>4.  History is solved, forecast is built. Never a plug.</t>
  </si>
  <si>
    <t>A residual absorbs every error in every other line and then hides it.</t>
  </si>
  <si>
    <t>5.  Supply flags, it does not cap.</t>
  </si>
  <si>
    <t>Our supply estimate is itself a wide guess. Surfacing a conflict is useful; silently truncating revenue is not.</t>
  </si>
  <si>
    <t>6.  Effort in proportion to dispersion.</t>
  </si>
  <si>
    <t>Leg 3 gets one cell. The GW schedule gets its own table. That asymmetry is the point.</t>
  </si>
  <si>
    <t>NEXT:  step 1 - the disclosure log.  Nothing else gets built until the split of history is agreed.</t>
  </si>
  <si>
    <t>STEP 1  -  DISCLOSURE LOG</t>
  </si>
  <si>
    <t>Everything AMD has said about Data Center, Q1'24 - Q2'26. The raw material for the historical split.</t>
  </si>
  <si>
    <t>Sources: 10 earnings call transcripts (prepared remarks + Q&amp;A) and quarterly press releases. Section E is the point of the sheet:</t>
  </si>
  <si>
    <t>qualitative statements converted into formal constraints. Section F shows those constraints already bite.</t>
  </si>
  <si>
    <t xml:space="preserve">  A   REPORTED - the hard spine.  Tier 1, exact, not estimated.</t>
  </si>
  <si>
    <t>Quarter</t>
  </si>
  <si>
    <t>Reported</t>
  </si>
  <si>
    <t>Total rev $M</t>
  </si>
  <si>
    <t>DC rev $M</t>
  </si>
  <si>
    <t>DC YoY</t>
  </si>
  <si>
    <t>DC QoQ</t>
  </si>
  <si>
    <t>DC op inc $M</t>
  </si>
  <si>
    <t>DC op inc</t>
  </si>
  <si>
    <t>Q1'24</t>
  </si>
  <si>
    <t>2024-04-30</t>
  </si>
  <si>
    <t>Q2'24</t>
  </si>
  <si>
    <t>2024-07-30</t>
  </si>
  <si>
    <t>Q3'24</t>
  </si>
  <si>
    <t>2024-10-29</t>
  </si>
  <si>
    <t>Q4'24</t>
  </si>
  <si>
    <t>2025-02-04</t>
  </si>
  <si>
    <t>Q1'25</t>
  </si>
  <si>
    <t>2025-05-06</t>
  </si>
  <si>
    <t>Q2'25</t>
  </si>
  <si>
    <t>2025-08-05</t>
  </si>
  <si>
    <t>Q3'25</t>
  </si>
  <si>
    <t>2025-11-04</t>
  </si>
  <si>
    <t>Q4'25</t>
  </si>
  <si>
    <t>2026-02-03</t>
  </si>
  <si>
    <t>Q1'26</t>
  </si>
  <si>
    <t>2026-05-05</t>
  </si>
  <si>
    <t>Q2'26</t>
  </si>
  <si>
    <t>2026-08-04</t>
  </si>
  <si>
    <t>Q2'25 DC was an operating LOSS of $155M ($800M MI308 inventory charge). v2's history sheet carries +$743M there,</t>
  </si>
  <si>
    <t>which is actually Q2'24's figure. Not used in a revenue model, but it tells you the history sheet was not re-checked.</t>
  </si>
  <si>
    <t xml:space="preserve">  B   PRODUCT-LINE DISCLOSURE - what AMD says about EPYC and Instinct, quarter by quarter</t>
  </si>
  <si>
    <t>AMD has NEVER disclosed EPYC or Instinct revenue. What it gives instead is growth language. That language is the data.</t>
  </si>
  <si>
    <t>What was disclosed  (paraphrase; key phrase in quotes)</t>
  </si>
  <si>
    <t>MI</t>
  </si>
  <si>
    <t>DC GPU ~$600M in the quarter (analyst figure, unchallenged by mgmt on the Q1'25 call). FY24 DC GPU guided to exceed $4bn.</t>
  </si>
  <si>
    <t>LEVEL (soft)</t>
  </si>
  <si>
    <t>EPYC</t>
  </si>
  <si>
    <t>Server CPU sales up a "double-digit percentage" YoY; down seasonally QoQ.</t>
  </si>
  <si>
    <t>QUALIFIER</t>
  </si>
  <si>
    <t>MI300 quarterly revenue "exceeding $1 billion for the first time". FY24 guide raised to exceed $4.5bn.</t>
  </si>
  <si>
    <t>LEVEL (hard-ish)</t>
  </si>
  <si>
    <t>"Strong double-digit percentage" EPYC server revenue growth YoY.</t>
  </si>
  <si>
    <t>FY24 DC GPU guide raised again to exceed $5bn. Analyst put the quarter at "under $1.7 billion, maybe a little more".</t>
  </si>
  <si>
    <t>Enterprise sales up strong double-digit YoY for a fifth straight quarter. Q4 server expected up sequentially.</t>
  </si>
  <si>
    <t>FY2024 data center AI revenue: "greater than $5 billion" for the year.</t>
  </si>
  <si>
    <t>LEVEL - HARD (annual)</t>
  </si>
  <si>
    <t>Server business grew "double-digit sequentially" in Q4'24. Turin ramping; record share exiting the year.</t>
  </si>
  <si>
    <t>QUALIFIER - directional</t>
  </si>
  <si>
    <t>DC AI revenue up "significant double digit percentage" YoY off a ~$600M base. Analyst inferred it was DOWN at least 20% sequentially; not disputed.</t>
  </si>
  <si>
    <t>QUALIFIER + direction</t>
  </si>
  <si>
    <t>Analyst inference on the same exchange: server CPU was UP sequentially. Not disputed. Enterprise up large double-digit YoY, seventh straight quarter.</t>
  </si>
  <si>
    <t>DIRECTION</t>
  </si>
  <si>
    <t>DC AI revenue "declined year-over-year" - MI308 China sales eliminated by export controls, and transitioning to MI350.</t>
  </si>
  <si>
    <t>DIRECTION - HARD</t>
  </si>
  <si>
    <t>RECORD EPYC sales in the quarter, despite DC segment falling 12% QoQ.</t>
  </si>
  <si>
    <t>DC AI grew YoY on the MI350 ramp. Jean Hu: DC grew nicely YoY in BOTH server and data center AI.</t>
  </si>
  <si>
    <t>Record cloud sales; enterprise sell-through up sharply YoY and QoQ.</t>
  </si>
  <si>
    <t>RECORD Instinct revenue. ~$390M of MI308 China revenue in the quarter (excluded from guidance). Su: back out China and you still see growth.</t>
  </si>
  <si>
    <t>LEVEL - HARD (China) + direction</t>
  </si>
  <si>
    <t>Record server CPU sales to cloud AND enterprise; exited the year with record share. Turin &gt;50% of total server revenue.</t>
  </si>
  <si>
    <t>DIRECTION + MIX</t>
  </si>
  <si>
    <t>DC AI "down modestly sequentially", primarily on lower China revenue. Up significant double-digit YoY. ~$100M China expected in the quarter.</t>
  </si>
  <si>
    <t>Server CPU revenue grew MORE THAN 50% YoY (Su, confirmed in Q&amp;A). Fourth consecutive quarter of record server CPU revenue.</t>
  </si>
  <si>
    <t>GROWTH - HARD</t>
  </si>
  <si>
    <t>Instinct sales "more than doubled" YoY.</t>
  </si>
  <si>
    <t>EPYC sales up "greater than 70%" YoY, cloud and enterprise each &gt;70%. Fifth consecutive quarter of record server CPU revenue. Units grew more than ASP; both double-digit.</t>
  </si>
  <si>
    <t>GROWTH - HARD + MIX</t>
  </si>
  <si>
    <t>Other</t>
  </si>
  <si>
    <t>No disclosure. Ever. Pensando/Pollara, retained ZT design, datacenter FPGA are never broken out.</t>
  </si>
  <si>
    <t>NONE - by design</t>
  </si>
  <si>
    <t xml:space="preserve">  C   STRUCTURAL EVENTS - things that break comparability</t>
  </si>
  <si>
    <t>When</t>
  </si>
  <si>
    <t>Event</t>
  </si>
  <si>
    <t>Effect on the split</t>
  </si>
  <si>
    <t>Mar 2025</t>
  </si>
  <si>
    <t>ZT Systems acquired ($4.4bn). Manufacturing arm divested; design ops retained.</t>
  </si>
  <si>
    <t>Retained design revenue sits in DC, inside 'Other'. Small, never sized.</t>
  </si>
  <si>
    <t>Apr 2025</t>
  </si>
  <si>
    <t>US export controls stop MI308 shipments to China.</t>
  </si>
  <si>
    <t>Cuts Instinct hard from Q2'25. $800M inventory charge in Q2'25 (COGS, not revenue).</t>
  </si>
  <si>
    <t>MI308 China shipments resume: ~$390M in Q4'25, ~$100M guided Q1'26.</t>
  </si>
  <si>
    <t>China becomes a separate, lumpy, semi-disclosed line inside Instinct.</t>
  </si>
  <si>
    <t>FY2025</t>
  </si>
  <si>
    <t>Segment reporting changes: Client and Gaming merged into one reportable segment.</t>
  </si>
  <si>
    <t>No effect on DC. Matters if the other segments are ever rebuilt.</t>
  </si>
  <si>
    <t>Server CPU TAM raised: ~18%/yr and $60bn by 2030 (Nov-25 FAD) to &gt;35%/yr and &gt;$120bn.</t>
  </si>
  <si>
    <t>AMD's own market view doubled in one quarter.</t>
  </si>
  <si>
    <t>Raised again: server CPU &gt;50%/yr to ~$220bn by 2030; accelerators &gt;45%/yr to ~$1.4T.</t>
  </si>
  <si>
    <t>And nearly doubled again. Treat AMD TAM figures as directional, not as inputs.</t>
  </si>
  <si>
    <t xml:space="preserve">  D   FORWARD GUIDANCE - the constraints on the FORECAST, not the history</t>
  </si>
  <si>
    <t>Given</t>
  </si>
  <si>
    <t>Statement</t>
  </si>
  <si>
    <t>Binds</t>
  </si>
  <si>
    <t>Q1'26 call</t>
  </si>
  <si>
    <t>Server CPU to grow &gt;70% YoY in Q2'26, robust through H2 and into 2027.</t>
  </si>
  <si>
    <t>Met: Q2'26 came in &gt;70%</t>
  </si>
  <si>
    <t>Q2'26 call</t>
  </si>
  <si>
    <t>Server revenue to grow &gt;80% YoY in H2 2026.</t>
  </si>
  <si>
    <t>Step 3 - EPYC build</t>
  </si>
  <si>
    <t>Server revenue to grow &gt;70% YoY in FY2027, off a higher base.</t>
  </si>
  <si>
    <t>DC segment to more than double in 2027; Jean Hu: "well over 100%".</t>
  </si>
  <si>
    <t>Step 6 - DC total</t>
  </si>
  <si>
    <t>DC AI to grow well over 100% in 2027. Su told an analyst $30bn for 2027 Instinct was "probably too low".</t>
  </si>
  <si>
    <t>Step 4 - MI build</t>
  </si>
  <si>
    <t>Revenue per gigawatt: "double-digit billions". ~14 GW publicly committed (OpenAI 6, Meta 6, Anthropic 2).</t>
  </si>
  <si>
    <t>Step 4 - GW schedule</t>
  </si>
  <si>
    <t>Helios: Q3'26 the very beginning of the ramp, Q4 a step-up, Q1'27 a further step-up.</t>
  </si>
  <si>
    <t>Step 4 - phasing</t>
  </si>
  <si>
    <t>Q3'26 total revenue ~$13.0bn +/- $300M; DC very strong double-digit sequential growth.</t>
  </si>
  <si>
    <t>Step 6 - Q3 check</t>
  </si>
  <si>
    <t xml:space="preserve">  E   THE CONSTRAINT SET - section B turned into formal tests.  This is what step 2 consumes.</t>
  </si>
  <si>
    <t>Each row is a testable statement about the split. C1 holds for every quarter and is exact; the rest are inequalities or directions.</t>
  </si>
  <si>
    <t>ID</t>
  </si>
  <si>
    <t>Applies to</t>
  </si>
  <si>
    <t>Formal constraint</t>
  </si>
  <si>
    <t>Strength</t>
  </si>
  <si>
    <t>C1</t>
  </si>
  <si>
    <t>every quarter</t>
  </si>
  <si>
    <t>EPYC + MI + Other  =  reported DC</t>
  </si>
  <si>
    <t>C2</t>
  </si>
  <si>
    <t>FY2024</t>
  </si>
  <si>
    <t>sum of 2024 MI quarters  &gt;  $5,000M</t>
  </si>
  <si>
    <t>HARD</t>
  </si>
  <si>
    <t>C3</t>
  </si>
  <si>
    <t>MI(Q2'24)  &gt;  $1,000M</t>
  </si>
  <si>
    <t>C4</t>
  </si>
  <si>
    <t>MI(Q1'25)  &lt;  0.80 x MI(Q4'24)</t>
  </si>
  <si>
    <t>STRONG - analyst inference, undisputed</t>
  </si>
  <si>
    <t>C5</t>
  </si>
  <si>
    <t>EPYC(Q1'25)  &gt;  EPYC(Q4'24)</t>
  </si>
  <si>
    <t>STRONG - same exchange</t>
  </si>
  <si>
    <t>C6</t>
  </si>
  <si>
    <t>MI(Q2'25)  &lt;  MI(Q2'24)</t>
  </si>
  <si>
    <t>HARD - "declined year-over-year"</t>
  </si>
  <si>
    <t>C7</t>
  </si>
  <si>
    <t>EPYC(Q2'25)  &gt;  EPYC(Q1'25)   [record quarter]</t>
  </si>
  <si>
    <t>HARD - "record EPYC sales"</t>
  </si>
  <si>
    <t>C8</t>
  </si>
  <si>
    <t>MI(Q4'25) - 390  &gt;  MI(Q3'25)</t>
  </si>
  <si>
    <t>HARD - ex-China still grew</t>
  </si>
  <si>
    <t>C9</t>
  </si>
  <si>
    <t>EPYC(Q4'25)  &gt;  EPYC(Q3'25)   [record]</t>
  </si>
  <si>
    <t>C10</t>
  </si>
  <si>
    <t>MI(Q1'26)  &lt;  MI(Q4'25)   ["down modestly"]</t>
  </si>
  <si>
    <t>C11</t>
  </si>
  <si>
    <t>EPYC(Q1'26)  &gt;  1.50 x EPYC(Q1'25)</t>
  </si>
  <si>
    <t>HARD - "&gt;50% YoY"</t>
  </si>
  <si>
    <t>C12</t>
  </si>
  <si>
    <t>EPYC(Q1'26)  &gt;  EPYC(Q4'25)   [4th consecutive record]</t>
  </si>
  <si>
    <t>C13</t>
  </si>
  <si>
    <t>EPYC(Q2'26)  &gt;  1.70 x EPYC(Q2'25)</t>
  </si>
  <si>
    <t>HARD - "&gt;70% YoY"</t>
  </si>
  <si>
    <t>C14</t>
  </si>
  <si>
    <t>EPYC(Q2'26)  &lt;  2.00 x EPYC(Q2'25)</t>
  </si>
  <si>
    <t>INFERRED - see note below</t>
  </si>
  <si>
    <t>C15</t>
  </si>
  <si>
    <t>MI(Q2'26)  &gt;  2.00 x MI(Q2'25)</t>
  </si>
  <si>
    <t>HARD - "more than doubled"</t>
  </si>
  <si>
    <t>C16</t>
  </si>
  <si>
    <t>Q2'25 - Q2'26</t>
  </si>
  <si>
    <t>EPYC strictly increasing across 5 quarters</t>
  </si>
  <si>
    <t>HARD - "fifth consecutive record"</t>
  </si>
  <si>
    <t>C14 is the one inferred constraint, and it is worth stating explicitly:</t>
  </si>
  <si>
    <t>In one paragraph Jean Hu used "more than doubled" for Instinct and "greater than 70%" for EPYC. A company that had</t>
  </si>
  <si>
    <t>doubled EPYC would have said so - it had the phrase in its mouth. What management chose NOT to say bounds EPYC from above.</t>
  </si>
  <si>
    <t>Labelled INFERRED, not HARD. If step 2 can only satisfy everything by breaking C14, C14 is the one that gets relaxed.</t>
  </si>
  <si>
    <t xml:space="preserve">  F   DOES IT BITE?  -  v2's split tested against the constraint set</t>
  </si>
  <si>
    <t>Before building anything new: run the old model's historical split through section E. If the constraints were toothless,</t>
  </si>
  <si>
    <t>step 2 would not be worth doing.</t>
  </si>
  <si>
    <t>F.1   v2's split as it stands ($M)</t>
  </si>
  <si>
    <t>DC reported</t>
  </si>
  <si>
    <t>EPYC QoQ</t>
  </si>
  <si>
    <t>MI QoQ</t>
  </si>
  <si>
    <t>n/d</t>
  </si>
  <si>
    <t>Q1'24 and Q2'24 MI are the disclosure-derived figures from section B, not v2's (v2's history starts at Q3'24).</t>
  </si>
  <si>
    <t>F.2   The tests</t>
  </si>
  <si>
    <t>Actual</t>
  </si>
  <si>
    <t>Required</t>
  </si>
  <si>
    <t>Result</t>
  </si>
  <si>
    <t>FY24 MI  &gt;  $5,000M</t>
  </si>
  <si>
    <t>&gt; 5,000</t>
  </si>
  <si>
    <t>MI(Q1'25) &lt; 0.80 x MI(Q4'24)</t>
  </si>
  <si>
    <t>&lt; -20%</t>
  </si>
  <si>
    <t>EPYC(Q1'25) &gt; EPYC(Q4'24)</t>
  </si>
  <si>
    <t>&gt; 0%</t>
  </si>
  <si>
    <t>MI(Q2'25) &lt; MI(Q2'24)</t>
  </si>
  <si>
    <t>&lt; 0%</t>
  </si>
  <si>
    <t>MI(Q4'25) ex-China &gt; MI(Q3'25)</t>
  </si>
  <si>
    <t>MI(Q1'26) &lt; MI(Q4'25)</t>
  </si>
  <si>
    <t>EPYC(Q1'26) &gt; 1.50 x EPYC(Q1'25)</t>
  </si>
  <si>
    <t>&gt; 50%</t>
  </si>
  <si>
    <t>EPYC(Q2'26) &gt; 1.70 x EPYC(Q2'25)</t>
  </si>
  <si>
    <t>&gt; 70%</t>
  </si>
  <si>
    <t>EPYC(Q2'26) &lt; 2.00 x EPYC(Q2'25)</t>
  </si>
  <si>
    <t>&lt; 100%</t>
  </si>
  <si>
    <t>MI(Q2'26) &gt; 2.00 x MI(Q2'25)</t>
  </si>
  <si>
    <t>&gt; 100%</t>
  </si>
  <si>
    <t>EPYC rising Q2'25 -&gt; Q2'26</t>
  </si>
  <si>
    <t>VERDICT</t>
  </si>
  <si>
    <t>Read the failures as a group and they tell one story:</t>
  </si>
  <si>
    <t>v2 has Instinct RISING and EPYC FALLING through Q4'24 -&gt; Q1'25, when management said the opposite happened.</t>
  </si>
  <si>
    <t>Everything after that inherits the error. It is why v2's EPYC series shows a 40% collapse then a 74% rebound,</t>
  </si>
  <si>
    <t>and why its Q2'26 EPYC growth (+107%) sits above what management described.</t>
  </si>
  <si>
    <t>Two tests PASS on the letter but fail on the spirit - worth watching in step 2:</t>
  </si>
  <si>
    <t>C11 passes at +222% YoY against a "&gt;50%" statement. C13 passes at +107% against "&gt;70%". A company does not say</t>
  </si>
  <si>
    <t>"more than 50%" when it means "more than tripled". Both are symptoms of the same too-low Q1'25 EPYC base.</t>
  </si>
  <si>
    <t xml:space="preserve">  G   WHAT STEP 2 NOW HAS TO DO</t>
  </si>
  <si>
    <t>Task</t>
  </si>
  <si>
    <t>Solve</t>
  </si>
  <si>
    <t>Find EPYC / MI / Other for Q3'24 - Q2'26 that satisfies C1 exactly and C2-C16 as far as possible.</t>
  </si>
  <si>
    <t>Report LOW / BASE / HIGH per leg. Constraints define a feasible region, not a point.</t>
  </si>
  <si>
    <t>Log</t>
  </si>
  <si>
    <t>Where constraints conflict, record which one was relaxed and why. C14 (inferred) relaxes before any HARD constraint.</t>
  </si>
  <si>
    <t>Seed</t>
  </si>
  <si>
    <t>Q1'24 and Q2'24 MI are pinned by C2 and C3 and anchor the 2024 quarters.</t>
  </si>
  <si>
    <t>Hand off</t>
  </si>
  <si>
    <t>The Q2'26 row becomes the T-1 anchor for the EPYC chain (step 3) and the merchant MI chain (step 4).</t>
  </si>
  <si>
    <t>NEXT:  step 2 - solve the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</si>
</sst>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6"/>
      <color rgb="FF1F3556"/>
      <name val="Calibri"/>
      <family val="2"/>
    </font>
    <font>
      <i/>
      <sz val="10"/>
      <color rgb="FF7F7F7F"/>
      <name val="Calibri"/>
      <family val="2"/>
    </font>
    <font>
      <b/>
      <sz val="10"/>
      <color rgb="FFC00000"/>
      <name val="Calibri"/>
      <family val="2"/>
    </font>
    <font>
      <b/>
      <sz val="12"/>
      <color rgb="FFFFFFFF"/>
      <name val="Calibri"/>
      <family val="2"/>
    </font>
    <font>
      <b/>
      <sz val="11"/>
      <color rgb="FF1F3556"/>
      <name val="Calibri"/>
      <family val="2"/>
    </font>
    <font>
      <b/>
      <sz val="10"/>
      <color rgb="FF1F3556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1F3556"/>
      <name val="Consolas"/>
      <family val="2"/>
    </font>
    <font>
      <i/>
      <sz val="9"/>
      <color rgb="FF7F7F7F"/>
      <name val="Calibri"/>
      <family val="2"/>
    </font>
    <font>
      <b/>
      <sz val="16"/>
      <color rgb="FF1F3556"/>
      <name val="Calibri"/>
      <family val="2"/>
    </font>
    <font>
      <i/>
      <sz val="10"/>
      <color rgb="FF7F7F7F"/>
      <name val="Calibri"/>
      <family val="2"/>
    </font>
    <font>
      <b/>
      <sz val="10"/>
      <color rgb="FFC00000"/>
      <name val="Calibri"/>
      <family val="2"/>
    </font>
    <font>
      <b/>
      <sz val="12"/>
      <color rgb="FFFFFFFF"/>
      <name val="Calibri"/>
      <family val="2"/>
    </font>
    <font>
      <b/>
      <sz val="9"/>
      <color rgb="FF1F3556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i/>
      <sz val="9"/>
      <color rgb="FF7F7F7F"/>
      <name val="Calibri"/>
      <family val="2"/>
    </font>
    <font>
      <b/>
      <sz val="11"/>
      <color rgb="FF1F355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55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355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0" borderId="0" xfId="0" applyFont="1"/>
    <xf numFmtId="0" fontId="8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top"/>
    </xf>
    <xf numFmtId="0" fontId="14" fillId="6" borderId="0" xfId="0" applyFont="1" applyFill="1" applyAlignment="1">
      <alignment vertical="center"/>
    </xf>
    <xf numFmtId="0" fontId="0" fillId="6" borderId="0" xfId="0" applyFill="1"/>
    <xf numFmtId="0" fontId="15" fillId="7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3" fontId="17" fillId="0" borderId="4" xfId="0" applyNumberFormat="1" applyFont="1" applyBorder="1" applyAlignment="1">
      <alignment horizontal="right" vertical="top"/>
    </xf>
    <xf numFmtId="9" fontId="17" fillId="0" borderId="4" xfId="0" applyNumberFormat="1" applyFont="1" applyBorder="1" applyAlignment="1">
      <alignment horizontal="right" vertical="top"/>
    </xf>
    <xf numFmtId="0" fontId="16" fillId="8" borderId="4" xfId="0" applyFont="1" applyFill="1" applyBorder="1" applyAlignment="1">
      <alignment vertical="top" wrapText="1"/>
    </xf>
    <xf numFmtId="0" fontId="17" fillId="8" borderId="4" xfId="0" applyFont="1" applyFill="1" applyBorder="1" applyAlignment="1">
      <alignment vertical="top" wrapText="1"/>
    </xf>
    <xf numFmtId="3" fontId="17" fillId="8" borderId="4" xfId="0" applyNumberFormat="1" applyFont="1" applyFill="1" applyBorder="1" applyAlignment="1">
      <alignment horizontal="right" vertical="top"/>
    </xf>
    <xf numFmtId="9" fontId="17" fillId="8" borderId="4" xfId="0" applyNumberFormat="1" applyFont="1" applyFill="1" applyBorder="1" applyAlignment="1">
      <alignment horizontal="right" vertical="top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9" fillId="0" borderId="0" xfId="0" applyFont="1" applyAlignment="1">
      <alignment vertical="top"/>
    </xf>
    <xf numFmtId="3" fontId="17" fillId="0" borderId="4" xfId="0" applyNumberFormat="1" applyFont="1" applyBorder="1" applyAlignment="1">
      <alignment vertical="top" wrapText="1"/>
    </xf>
    <xf numFmtId="9" fontId="17" fillId="0" borderId="4" xfId="0" applyNumberFormat="1" applyFont="1" applyBorder="1" applyAlignment="1">
      <alignment vertical="top" wrapText="1"/>
    </xf>
    <xf numFmtId="3" fontId="17" fillId="8" borderId="4" xfId="0" applyNumberFormat="1" applyFont="1" applyFill="1" applyBorder="1" applyAlignment="1">
      <alignment vertical="top" wrapText="1"/>
    </xf>
    <xf numFmtId="9" fontId="17" fillId="8" borderId="4" xfId="0" applyNumberFormat="1" applyFont="1" applyFill="1" applyBorder="1" applyAlignment="1">
      <alignment vertical="top" wrapText="1"/>
    </xf>
    <xf numFmtId="0" fontId="17" fillId="0" borderId="4" xfId="0" applyFont="1" applyBorder="1" applyAlignment="1">
      <alignment horizontal="right" vertical="top"/>
    </xf>
    <xf numFmtId="0" fontId="17" fillId="8" borderId="4" xfId="0" applyFont="1" applyFill="1" applyBorder="1" applyAlignment="1">
      <alignment horizontal="right" vertical="top"/>
    </xf>
    <xf numFmtId="1" fontId="17" fillId="0" borderId="4" xfId="0" applyNumberFormat="1" applyFont="1" applyBorder="1" applyAlignment="1">
      <alignment horizontal="right" vertical="top"/>
    </xf>
    <xf numFmtId="0" fontId="19" fillId="0" borderId="0" xfId="0" applyFont="1"/>
    <xf numFmtId="0" fontId="9" fillId="5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8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vertical="top" wrapText="1"/>
    </xf>
    <xf numFmtId="0" fontId="0" fillId="8" borderId="4" xfId="0" applyFill="1" applyBorder="1"/>
    <xf numFmtId="0" fontId="17" fillId="0" borderId="4" xfId="0" applyFont="1" applyBorder="1" applyAlignment="1">
      <alignment vertical="top" wrapText="1"/>
    </xf>
    <xf numFmtId="0" fontId="0" fillId="0" borderId="4" xfId="0" applyBorder="1"/>
    <xf numFmtId="0" fontId="16" fillId="0" borderId="4" xfId="0" applyFont="1" applyBorder="1" applyAlignment="1">
      <alignment vertical="top" wrapText="1"/>
    </xf>
    <xf numFmtId="0" fontId="16" fillId="8" borderId="4" xfId="0" applyFont="1" applyFill="1" applyBorder="1" applyAlignment="1">
      <alignment vertical="top" wrapText="1"/>
    </xf>
    <xf numFmtId="0" fontId="15" fillId="7" borderId="4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13" fillId="9" borderId="4" xfId="0" applyFont="1" applyFill="1" applyBorder="1" applyAlignment="1">
      <alignment vertical="top"/>
    </xf>
    <xf numFmtId="0" fontId="0" fillId="9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8"/>
  <sheetViews>
    <sheetView showGridLines="0" workbookViewId="0">
      <pane xSplit="1" ySplit="4" topLeftCell="B85" activePane="bottomRight" state="frozen"/>
      <selection pane="topRight"/>
      <selection pane="bottomLeft"/>
      <selection pane="bottomRight" activeCell="B23" sqref="B23"/>
    </sheetView>
  </sheetViews>
  <sheetFormatPr baseColWidth="10" defaultColWidth="8.83203125" defaultRowHeight="15" x14ac:dyDescent="0.2"/>
  <cols>
    <col min="1" max="1" width="2.5" customWidth="1"/>
    <col min="2" max="2" width="34" customWidth="1"/>
    <col min="3" max="3" width="44" customWidth="1"/>
    <col min="4" max="4" width="24" customWidth="1"/>
    <col min="5" max="5" width="32" customWidth="1"/>
    <col min="6" max="6" width="42" customWidth="1"/>
    <col min="7" max="7" width="2.5" customWidth="1"/>
  </cols>
  <sheetData>
    <row r="1" spans="2:6" ht="21" customHeight="1" x14ac:dyDescent="0.25">
      <c r="B1" s="1" t="s">
        <v>0</v>
      </c>
    </row>
    <row r="2" spans="2:6" x14ac:dyDescent="0.2">
      <c r="B2" s="2" t="s">
        <v>1</v>
      </c>
    </row>
    <row r="4" spans="2:6" x14ac:dyDescent="0.2">
      <c r="B4" s="3" t="s">
        <v>2</v>
      </c>
    </row>
    <row r="6" spans="2:6" ht="22" customHeight="1" x14ac:dyDescent="0.2">
      <c r="B6" s="4" t="s">
        <v>3</v>
      </c>
      <c r="C6" s="5"/>
      <c r="D6" s="5"/>
      <c r="E6" s="5"/>
      <c r="F6" s="5"/>
    </row>
    <row r="8" spans="2:6" x14ac:dyDescent="0.2">
      <c r="B8" s="6" t="s">
        <v>4</v>
      </c>
    </row>
    <row r="9" spans="2:6" ht="26" customHeight="1" x14ac:dyDescent="0.2">
      <c r="B9" s="7"/>
      <c r="C9" s="7" t="s">
        <v>5</v>
      </c>
      <c r="D9" s="47" t="s">
        <v>6</v>
      </c>
      <c r="E9" s="43"/>
      <c r="F9" s="44"/>
    </row>
    <row r="10" spans="2:6" ht="38" customHeight="1" x14ac:dyDescent="0.2">
      <c r="B10" s="8" t="s">
        <v>7</v>
      </c>
      <c r="C10" s="9" t="s">
        <v>8</v>
      </c>
      <c r="D10" s="46" t="s">
        <v>9</v>
      </c>
      <c r="E10" s="43"/>
      <c r="F10" s="44"/>
    </row>
    <row r="11" spans="2:6" ht="52" customHeight="1" x14ac:dyDescent="0.2">
      <c r="B11" s="10" t="s">
        <v>10</v>
      </c>
      <c r="C11" s="11" t="s">
        <v>11</v>
      </c>
      <c r="D11" s="45" t="s">
        <v>12</v>
      </c>
      <c r="E11" s="43"/>
      <c r="F11" s="44"/>
    </row>
    <row r="12" spans="2:6" ht="38" customHeight="1" x14ac:dyDescent="0.2">
      <c r="B12" s="8" t="s">
        <v>13</v>
      </c>
      <c r="C12" s="9" t="s">
        <v>14</v>
      </c>
      <c r="D12" s="46" t="s">
        <v>15</v>
      </c>
      <c r="E12" s="43"/>
      <c r="F12" s="44"/>
    </row>
    <row r="14" spans="2:6" x14ac:dyDescent="0.2">
      <c r="B14" s="6" t="s">
        <v>16</v>
      </c>
    </row>
    <row r="15" spans="2:6" ht="20" customHeight="1" x14ac:dyDescent="0.2">
      <c r="B15" s="42" t="s">
        <v>17</v>
      </c>
      <c r="C15" s="43"/>
      <c r="D15" s="43"/>
      <c r="E15" s="43"/>
      <c r="F15" s="44"/>
    </row>
    <row r="16" spans="2:6" x14ac:dyDescent="0.2">
      <c r="B16" s="12" t="s">
        <v>18</v>
      </c>
    </row>
    <row r="18" spans="2:6" x14ac:dyDescent="0.2">
      <c r="B18" s="13" t="s">
        <v>19</v>
      </c>
    </row>
    <row r="19" spans="2:6" ht="26" customHeight="1" x14ac:dyDescent="0.2">
      <c r="B19" s="7" t="s">
        <v>20</v>
      </c>
      <c r="C19" s="7" t="s">
        <v>21</v>
      </c>
      <c r="D19" s="47" t="s">
        <v>22</v>
      </c>
      <c r="E19" s="43"/>
      <c r="F19" s="44"/>
    </row>
    <row r="20" spans="2:6" ht="38" customHeight="1" x14ac:dyDescent="0.2">
      <c r="B20" s="8" t="s">
        <v>23</v>
      </c>
      <c r="C20" s="9" t="s">
        <v>24</v>
      </c>
      <c r="D20" s="46" t="s">
        <v>25</v>
      </c>
      <c r="E20" s="43"/>
      <c r="F20" s="44"/>
    </row>
    <row r="21" spans="2:6" ht="38" customHeight="1" x14ac:dyDescent="0.2">
      <c r="B21" s="10" t="s">
        <v>26</v>
      </c>
      <c r="C21" s="11" t="s">
        <v>27</v>
      </c>
      <c r="D21" s="45" t="s">
        <v>28</v>
      </c>
      <c r="E21" s="43"/>
      <c r="F21" s="44"/>
    </row>
    <row r="23" spans="2:6" x14ac:dyDescent="0.2">
      <c r="B23" s="6" t="s">
        <v>29</v>
      </c>
    </row>
    <row r="24" spans="2:6" x14ac:dyDescent="0.2">
      <c r="B24" s="13" t="s">
        <v>30</v>
      </c>
    </row>
    <row r="25" spans="2:6" x14ac:dyDescent="0.2">
      <c r="B25" s="14" t="s">
        <v>31</v>
      </c>
    </row>
    <row r="26" spans="2:6" ht="26" customHeight="1" x14ac:dyDescent="0.2">
      <c r="B26" s="7" t="s">
        <v>32</v>
      </c>
      <c r="C26" s="7" t="s">
        <v>33</v>
      </c>
      <c r="D26" s="7" t="s">
        <v>34</v>
      </c>
      <c r="E26" s="7" t="s">
        <v>35</v>
      </c>
      <c r="F26" s="7" t="s">
        <v>36</v>
      </c>
    </row>
    <row r="27" spans="2:6" ht="80" customHeight="1" x14ac:dyDescent="0.2">
      <c r="B27" s="8" t="s">
        <v>37</v>
      </c>
      <c r="C27" s="9" t="s">
        <v>38</v>
      </c>
      <c r="D27" s="9" t="s">
        <v>39</v>
      </c>
      <c r="E27" s="9" t="s">
        <v>40</v>
      </c>
      <c r="F27" s="9" t="s">
        <v>41</v>
      </c>
    </row>
    <row r="28" spans="2:6" ht="94" customHeight="1" x14ac:dyDescent="0.2">
      <c r="B28" s="10" t="s">
        <v>42</v>
      </c>
      <c r="C28" s="11" t="s">
        <v>43</v>
      </c>
      <c r="D28" s="11" t="s">
        <v>44</v>
      </c>
      <c r="E28" s="11" t="s">
        <v>45</v>
      </c>
      <c r="F28" s="11" t="s">
        <v>46</v>
      </c>
    </row>
    <row r="29" spans="2:6" ht="38" customHeight="1" x14ac:dyDescent="0.2">
      <c r="B29" s="8" t="s">
        <v>47</v>
      </c>
      <c r="C29" s="9" t="s">
        <v>48</v>
      </c>
      <c r="D29" s="9" t="s">
        <v>49</v>
      </c>
      <c r="E29" s="9" t="s">
        <v>50</v>
      </c>
      <c r="F29" s="9" t="s">
        <v>51</v>
      </c>
    </row>
    <row r="31" spans="2:6" x14ac:dyDescent="0.2">
      <c r="B31" s="14" t="s">
        <v>52</v>
      </c>
    </row>
    <row r="33" spans="2:6" ht="22" customHeight="1" x14ac:dyDescent="0.2">
      <c r="B33" s="4" t="s">
        <v>53</v>
      </c>
      <c r="C33" s="5"/>
      <c r="D33" s="5"/>
      <c r="E33" s="5"/>
      <c r="F33" s="5"/>
    </row>
    <row r="35" spans="2:6" x14ac:dyDescent="0.2">
      <c r="B35" s="6" t="s">
        <v>54</v>
      </c>
    </row>
    <row r="36" spans="2:6" x14ac:dyDescent="0.2">
      <c r="B36" s="13" t="s">
        <v>55</v>
      </c>
    </row>
    <row r="37" spans="2:6" x14ac:dyDescent="0.2">
      <c r="B37" s="13" t="s">
        <v>56</v>
      </c>
    </row>
    <row r="38" spans="2:6" x14ac:dyDescent="0.2">
      <c r="B38" s="13" t="s">
        <v>57</v>
      </c>
    </row>
    <row r="39" spans="2:6" ht="20" customHeight="1" x14ac:dyDescent="0.2">
      <c r="B39" s="42" t="s">
        <v>58</v>
      </c>
      <c r="C39" s="43"/>
      <c r="D39" s="43"/>
      <c r="E39" s="43"/>
      <c r="F39" s="44"/>
    </row>
    <row r="40" spans="2:6" ht="26" customHeight="1" x14ac:dyDescent="0.2"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</row>
    <row r="41" spans="2:6" ht="38" customHeight="1" x14ac:dyDescent="0.2">
      <c r="B41" s="8" t="s">
        <v>64</v>
      </c>
      <c r="C41" s="9" t="s">
        <v>65</v>
      </c>
      <c r="D41" s="9" t="s">
        <v>66</v>
      </c>
      <c r="E41" s="9" t="s">
        <v>67</v>
      </c>
      <c r="F41" s="9" t="s">
        <v>68</v>
      </c>
    </row>
    <row r="42" spans="2:6" ht="80" customHeight="1" x14ac:dyDescent="0.2">
      <c r="B42" s="10" t="s">
        <v>69</v>
      </c>
      <c r="C42" s="11" t="s">
        <v>70</v>
      </c>
      <c r="D42" s="11" t="s">
        <v>71</v>
      </c>
      <c r="E42" s="11" t="s">
        <v>72</v>
      </c>
      <c r="F42" s="11" t="s">
        <v>73</v>
      </c>
    </row>
    <row r="43" spans="2:6" ht="52" customHeight="1" x14ac:dyDescent="0.2">
      <c r="B43" s="8" t="s">
        <v>74</v>
      </c>
      <c r="C43" s="9" t="s">
        <v>75</v>
      </c>
      <c r="D43" s="9" t="s">
        <v>76</v>
      </c>
      <c r="E43" s="9" t="s">
        <v>72</v>
      </c>
      <c r="F43" s="9" t="s">
        <v>77</v>
      </c>
    </row>
    <row r="45" spans="2:6" x14ac:dyDescent="0.2">
      <c r="B45" s="13" t="s">
        <v>78</v>
      </c>
    </row>
    <row r="46" spans="2:6" x14ac:dyDescent="0.2">
      <c r="B46" s="13" t="s">
        <v>79</v>
      </c>
    </row>
    <row r="48" spans="2:6" x14ac:dyDescent="0.2">
      <c r="B48" s="15" t="s">
        <v>80</v>
      </c>
    </row>
    <row r="49" spans="2:6" ht="26" customHeight="1" x14ac:dyDescent="0.2">
      <c r="B49" s="7" t="s">
        <v>81</v>
      </c>
      <c r="C49" s="7" t="s">
        <v>82</v>
      </c>
      <c r="D49" s="47" t="s">
        <v>83</v>
      </c>
      <c r="E49" s="43"/>
      <c r="F49" s="44"/>
    </row>
    <row r="50" spans="2:6" ht="24" customHeight="1" x14ac:dyDescent="0.2">
      <c r="B50" s="8" t="s">
        <v>84</v>
      </c>
      <c r="C50" s="9" t="s">
        <v>85</v>
      </c>
      <c r="D50" s="46" t="s">
        <v>86</v>
      </c>
      <c r="E50" s="43"/>
      <c r="F50" s="44"/>
    </row>
    <row r="51" spans="2:6" ht="24" customHeight="1" x14ac:dyDescent="0.2">
      <c r="B51" s="10" t="s">
        <v>87</v>
      </c>
      <c r="C51" s="11" t="s">
        <v>85</v>
      </c>
      <c r="D51" s="45" t="s">
        <v>88</v>
      </c>
      <c r="E51" s="43"/>
      <c r="F51" s="44"/>
    </row>
    <row r="52" spans="2:6" ht="24" customHeight="1" x14ac:dyDescent="0.2">
      <c r="B52" s="8" t="s">
        <v>89</v>
      </c>
      <c r="C52" s="9" t="s">
        <v>90</v>
      </c>
      <c r="D52" s="46" t="s">
        <v>91</v>
      </c>
      <c r="E52" s="43"/>
      <c r="F52" s="44"/>
    </row>
    <row r="54" spans="2:6" x14ac:dyDescent="0.2">
      <c r="B54" s="6" t="s">
        <v>92</v>
      </c>
    </row>
    <row r="55" spans="2:6" x14ac:dyDescent="0.2">
      <c r="B55" s="13" t="s">
        <v>93</v>
      </c>
    </row>
    <row r="56" spans="2:6" ht="20" customHeight="1" x14ac:dyDescent="0.2">
      <c r="B56" s="42" t="s">
        <v>94</v>
      </c>
      <c r="C56" s="43"/>
      <c r="D56" s="43"/>
      <c r="E56" s="43"/>
      <c r="F56" s="44"/>
    </row>
    <row r="57" spans="2:6" x14ac:dyDescent="0.2">
      <c r="B57" s="15" t="s">
        <v>95</v>
      </c>
    </row>
    <row r="58" spans="2:6" ht="20" customHeight="1" x14ac:dyDescent="0.2">
      <c r="B58" s="42" t="s">
        <v>96</v>
      </c>
      <c r="C58" s="43"/>
      <c r="D58" s="43"/>
      <c r="E58" s="43"/>
      <c r="F58" s="44"/>
    </row>
    <row r="59" spans="2:6" x14ac:dyDescent="0.2">
      <c r="B59" s="12" t="s">
        <v>97</v>
      </c>
    </row>
    <row r="60" spans="2:6" x14ac:dyDescent="0.2">
      <c r="B60" s="15" t="s">
        <v>98</v>
      </c>
    </row>
    <row r="61" spans="2:6" x14ac:dyDescent="0.2">
      <c r="B61" s="13" t="s">
        <v>99</v>
      </c>
    </row>
    <row r="62" spans="2:6" ht="20" customHeight="1" x14ac:dyDescent="0.2">
      <c r="B62" s="42" t="s">
        <v>100</v>
      </c>
      <c r="C62" s="43"/>
      <c r="D62" s="43"/>
      <c r="E62" s="43"/>
      <c r="F62" s="44"/>
    </row>
    <row r="63" spans="2:6" x14ac:dyDescent="0.2">
      <c r="B63" s="13" t="s">
        <v>101</v>
      </c>
    </row>
    <row r="64" spans="2:6" ht="26" customHeight="1" x14ac:dyDescent="0.2">
      <c r="B64" s="7" t="s">
        <v>102</v>
      </c>
      <c r="C64" s="7" t="s">
        <v>103</v>
      </c>
      <c r="D64" s="7" t="s">
        <v>82</v>
      </c>
      <c r="E64" s="47" t="s">
        <v>104</v>
      </c>
      <c r="F64" s="44"/>
    </row>
    <row r="65" spans="2:6" ht="24" customHeight="1" x14ac:dyDescent="0.2">
      <c r="B65" s="8" t="s">
        <v>105</v>
      </c>
      <c r="C65" s="9" t="s">
        <v>106</v>
      </c>
      <c r="D65" s="9" t="s">
        <v>107</v>
      </c>
      <c r="E65" s="46" t="s">
        <v>108</v>
      </c>
      <c r="F65" s="44"/>
    </row>
    <row r="66" spans="2:6" ht="24" customHeight="1" x14ac:dyDescent="0.2">
      <c r="B66" s="10" t="s">
        <v>109</v>
      </c>
      <c r="C66" s="11" t="s">
        <v>110</v>
      </c>
      <c r="D66" s="11" t="s">
        <v>111</v>
      </c>
      <c r="E66" s="45" t="s">
        <v>112</v>
      </c>
      <c r="F66" s="44"/>
    </row>
    <row r="67" spans="2:6" ht="24" customHeight="1" x14ac:dyDescent="0.2">
      <c r="B67" s="8" t="s">
        <v>113</v>
      </c>
      <c r="C67" s="9" t="s">
        <v>114</v>
      </c>
      <c r="D67" s="9" t="s">
        <v>115</v>
      </c>
      <c r="E67" s="46" t="s">
        <v>116</v>
      </c>
      <c r="F67" s="44"/>
    </row>
    <row r="68" spans="2:6" ht="24" customHeight="1" x14ac:dyDescent="0.2">
      <c r="B68" s="10" t="s">
        <v>117</v>
      </c>
      <c r="C68" s="11" t="s">
        <v>118</v>
      </c>
      <c r="D68" s="11" t="s">
        <v>115</v>
      </c>
      <c r="E68" s="45" t="s">
        <v>119</v>
      </c>
      <c r="F68" s="44"/>
    </row>
    <row r="69" spans="2:6" ht="24" customHeight="1" x14ac:dyDescent="0.2">
      <c r="B69" s="8" t="s">
        <v>120</v>
      </c>
      <c r="C69" s="9" t="s">
        <v>121</v>
      </c>
      <c r="D69" s="9" t="s">
        <v>122</v>
      </c>
      <c r="E69" s="46" t="s">
        <v>123</v>
      </c>
      <c r="F69" s="44"/>
    </row>
    <row r="70" spans="2:6" ht="24" customHeight="1" x14ac:dyDescent="0.2">
      <c r="B70" s="10" t="s">
        <v>124</v>
      </c>
      <c r="C70" s="11" t="s">
        <v>125</v>
      </c>
      <c r="D70" s="11" t="e">
        <f>racks x ASP</f>
        <v>#NAME?</v>
      </c>
      <c r="E70" s="45" t="s">
        <v>126</v>
      </c>
      <c r="F70" s="44"/>
    </row>
    <row r="72" spans="2:6" x14ac:dyDescent="0.2">
      <c r="B72" s="13" t="s">
        <v>127</v>
      </c>
    </row>
    <row r="73" spans="2:6" ht="26" customHeight="1" x14ac:dyDescent="0.2">
      <c r="B73" s="7" t="s">
        <v>128</v>
      </c>
      <c r="C73" s="7" t="s">
        <v>129</v>
      </c>
      <c r="D73" s="7" t="s">
        <v>130</v>
      </c>
      <c r="E73" s="47" t="s">
        <v>131</v>
      </c>
      <c r="F73" s="44"/>
    </row>
    <row r="74" spans="2:6" ht="24" customHeight="1" x14ac:dyDescent="0.2">
      <c r="B74" s="8" t="s">
        <v>132</v>
      </c>
      <c r="C74" s="9" t="s">
        <v>133</v>
      </c>
      <c r="D74" s="9" t="s">
        <v>134</v>
      </c>
      <c r="E74" s="46" t="s">
        <v>135</v>
      </c>
      <c r="F74" s="44"/>
    </row>
    <row r="75" spans="2:6" ht="24" customHeight="1" x14ac:dyDescent="0.2">
      <c r="B75" s="10" t="s">
        <v>136</v>
      </c>
      <c r="C75" s="11" t="s">
        <v>133</v>
      </c>
      <c r="D75" s="11" t="s">
        <v>134</v>
      </c>
      <c r="E75" s="45" t="s">
        <v>137</v>
      </c>
      <c r="F75" s="44"/>
    </row>
    <row r="76" spans="2:6" ht="24" customHeight="1" x14ac:dyDescent="0.2">
      <c r="B76" s="8" t="s">
        <v>138</v>
      </c>
      <c r="C76" s="9" t="s">
        <v>139</v>
      </c>
      <c r="D76" s="9" t="s">
        <v>140</v>
      </c>
      <c r="E76" s="46" t="s">
        <v>137</v>
      </c>
      <c r="F76" s="44"/>
    </row>
    <row r="77" spans="2:6" ht="24" customHeight="1" x14ac:dyDescent="0.2">
      <c r="B77" s="10" t="s">
        <v>141</v>
      </c>
      <c r="C77" s="11" t="s">
        <v>142</v>
      </c>
      <c r="D77" s="11" t="s">
        <v>143</v>
      </c>
      <c r="E77" s="45" t="s">
        <v>144</v>
      </c>
      <c r="F77" s="44"/>
    </row>
    <row r="78" spans="2:6" ht="24" customHeight="1" x14ac:dyDescent="0.2">
      <c r="B78" s="8" t="s">
        <v>145</v>
      </c>
      <c r="C78" s="9" t="s">
        <v>146</v>
      </c>
      <c r="D78" s="9" t="s">
        <v>147</v>
      </c>
      <c r="E78" s="46" t="s">
        <v>148</v>
      </c>
      <c r="F78" s="44"/>
    </row>
    <row r="79" spans="2:6" ht="24" customHeight="1" x14ac:dyDescent="0.2">
      <c r="B79" s="10" t="s">
        <v>149</v>
      </c>
      <c r="C79" s="11" t="s">
        <v>146</v>
      </c>
      <c r="D79" s="11" t="s">
        <v>150</v>
      </c>
      <c r="E79" s="45" t="s">
        <v>148</v>
      </c>
      <c r="F79" s="44"/>
    </row>
    <row r="81" spans="2:6" x14ac:dyDescent="0.2">
      <c r="B81" s="13" t="s">
        <v>151</v>
      </c>
    </row>
    <row r="82" spans="2:6" x14ac:dyDescent="0.2">
      <c r="B82" s="14" t="s">
        <v>152</v>
      </c>
    </row>
    <row r="84" spans="2:6" x14ac:dyDescent="0.2">
      <c r="B84" s="15" t="s">
        <v>153</v>
      </c>
    </row>
    <row r="85" spans="2:6" ht="26" customHeight="1" x14ac:dyDescent="0.2">
      <c r="B85" s="7" t="s">
        <v>154</v>
      </c>
      <c r="C85" s="7" t="s">
        <v>155</v>
      </c>
      <c r="D85" s="47" t="s">
        <v>156</v>
      </c>
      <c r="E85" s="43"/>
      <c r="F85" s="44"/>
    </row>
    <row r="86" spans="2:6" ht="38" customHeight="1" x14ac:dyDescent="0.2">
      <c r="B86" s="8" t="s">
        <v>157</v>
      </c>
      <c r="C86" s="9" t="s">
        <v>158</v>
      </c>
      <c r="D86" s="46" t="s">
        <v>159</v>
      </c>
      <c r="E86" s="43"/>
      <c r="F86" s="44"/>
    </row>
    <row r="87" spans="2:6" ht="38" customHeight="1" x14ac:dyDescent="0.2">
      <c r="B87" s="10" t="s">
        <v>160</v>
      </c>
      <c r="C87" s="11" t="s">
        <v>161</v>
      </c>
      <c r="D87" s="45" t="s">
        <v>162</v>
      </c>
      <c r="E87" s="43"/>
      <c r="F87" s="44"/>
    </row>
    <row r="88" spans="2:6" ht="24" customHeight="1" x14ac:dyDescent="0.2">
      <c r="B88" s="8" t="s">
        <v>163</v>
      </c>
      <c r="C88" s="9" t="s">
        <v>164</v>
      </c>
      <c r="D88" s="46" t="s">
        <v>165</v>
      </c>
      <c r="E88" s="43"/>
      <c r="F88" s="44"/>
    </row>
    <row r="90" spans="2:6" x14ac:dyDescent="0.2">
      <c r="B90" s="6" t="s">
        <v>166</v>
      </c>
    </row>
    <row r="91" spans="2:6" ht="20" customHeight="1" x14ac:dyDescent="0.2">
      <c r="B91" s="42" t="s">
        <v>167</v>
      </c>
      <c r="C91" s="43"/>
      <c r="D91" s="43"/>
      <c r="E91" s="43"/>
      <c r="F91" s="44"/>
    </row>
    <row r="92" spans="2:6" x14ac:dyDescent="0.2">
      <c r="B92" s="14" t="s">
        <v>168</v>
      </c>
    </row>
    <row r="94" spans="2:6" ht="22" customHeight="1" x14ac:dyDescent="0.2">
      <c r="B94" s="4" t="s">
        <v>169</v>
      </c>
      <c r="C94" s="5"/>
      <c r="D94" s="5"/>
      <c r="E94" s="5"/>
      <c r="F94" s="5"/>
    </row>
    <row r="96" spans="2:6" x14ac:dyDescent="0.2">
      <c r="B96" s="13" t="s">
        <v>170</v>
      </c>
    </row>
    <row r="97" spans="2:6" ht="26" customHeight="1" x14ac:dyDescent="0.2">
      <c r="B97" s="7" t="s">
        <v>171</v>
      </c>
      <c r="C97" s="7" t="s">
        <v>172</v>
      </c>
      <c r="D97" s="7" t="s">
        <v>173</v>
      </c>
      <c r="E97" s="7" t="s">
        <v>174</v>
      </c>
      <c r="F97" s="7" t="s">
        <v>175</v>
      </c>
    </row>
    <row r="98" spans="2:6" ht="38" customHeight="1" x14ac:dyDescent="0.2">
      <c r="B98" s="8" t="s">
        <v>176</v>
      </c>
      <c r="C98" s="9" t="s">
        <v>177</v>
      </c>
      <c r="D98" s="9" t="s">
        <v>178</v>
      </c>
      <c r="E98" s="9" t="s">
        <v>179</v>
      </c>
      <c r="F98" s="9" t="s">
        <v>180</v>
      </c>
    </row>
    <row r="99" spans="2:6" ht="94" customHeight="1" x14ac:dyDescent="0.2">
      <c r="B99" s="10" t="s">
        <v>181</v>
      </c>
      <c r="C99" s="11" t="s">
        <v>182</v>
      </c>
      <c r="D99" s="11" t="s">
        <v>183</v>
      </c>
      <c r="E99" s="11" t="s">
        <v>184</v>
      </c>
      <c r="F99" s="11" t="s">
        <v>185</v>
      </c>
    </row>
    <row r="100" spans="2:6" ht="80" customHeight="1" x14ac:dyDescent="0.2">
      <c r="B100" s="8" t="s">
        <v>186</v>
      </c>
      <c r="C100" s="9" t="s">
        <v>187</v>
      </c>
      <c r="D100" s="9" t="s">
        <v>188</v>
      </c>
      <c r="E100" s="9" t="s">
        <v>189</v>
      </c>
      <c r="F100" s="9" t="s">
        <v>190</v>
      </c>
    </row>
    <row r="101" spans="2:6" ht="52" customHeight="1" x14ac:dyDescent="0.2">
      <c r="B101" s="10" t="s">
        <v>191</v>
      </c>
      <c r="C101" s="11" t="s">
        <v>192</v>
      </c>
      <c r="D101" s="11" t="s">
        <v>193</v>
      </c>
      <c r="E101" s="11" t="s">
        <v>194</v>
      </c>
      <c r="F101" s="11" t="s">
        <v>190</v>
      </c>
    </row>
    <row r="102" spans="2:6" ht="52" customHeight="1" x14ac:dyDescent="0.2">
      <c r="B102" s="8" t="s">
        <v>195</v>
      </c>
      <c r="C102" s="9" t="s">
        <v>196</v>
      </c>
      <c r="D102" s="9" t="s">
        <v>197</v>
      </c>
      <c r="E102" s="9" t="s">
        <v>194</v>
      </c>
      <c r="F102" s="9" t="s">
        <v>190</v>
      </c>
    </row>
    <row r="103" spans="2:6" ht="24" customHeight="1" x14ac:dyDescent="0.2">
      <c r="B103" s="10" t="s">
        <v>198</v>
      </c>
      <c r="C103" s="11" t="s">
        <v>199</v>
      </c>
      <c r="D103" s="11" t="s">
        <v>200</v>
      </c>
      <c r="E103" s="11" t="s">
        <v>194</v>
      </c>
      <c r="F103" s="11" t="s">
        <v>190</v>
      </c>
    </row>
    <row r="104" spans="2:6" ht="38" customHeight="1" x14ac:dyDescent="0.2">
      <c r="B104" s="8" t="s">
        <v>201</v>
      </c>
      <c r="C104" s="9" t="s">
        <v>202</v>
      </c>
      <c r="D104" s="9" t="s">
        <v>203</v>
      </c>
      <c r="E104" s="9" t="s">
        <v>204</v>
      </c>
      <c r="F104" s="9" t="s">
        <v>190</v>
      </c>
    </row>
    <row r="105" spans="2:6" ht="52" customHeight="1" x14ac:dyDescent="0.2">
      <c r="B105" s="10" t="s">
        <v>205</v>
      </c>
      <c r="C105" s="11" t="s">
        <v>206</v>
      </c>
      <c r="D105" s="11" t="s">
        <v>207</v>
      </c>
      <c r="E105" s="11" t="s">
        <v>208</v>
      </c>
      <c r="F105" s="11" t="s">
        <v>190</v>
      </c>
    </row>
    <row r="107" spans="2:6" x14ac:dyDescent="0.2">
      <c r="B107" s="6" t="s">
        <v>209</v>
      </c>
    </row>
    <row r="108" spans="2:6" x14ac:dyDescent="0.2">
      <c r="B108" s="13" t="s">
        <v>210</v>
      </c>
    </row>
    <row r="109" spans="2:6" ht="26" customHeight="1" x14ac:dyDescent="0.2">
      <c r="B109" s="7" t="s">
        <v>211</v>
      </c>
      <c r="C109" s="7" t="s">
        <v>212</v>
      </c>
      <c r="D109" s="7" t="s">
        <v>213</v>
      </c>
      <c r="E109" s="47" t="s">
        <v>214</v>
      </c>
      <c r="F109" s="44"/>
    </row>
    <row r="110" spans="2:6" ht="24" customHeight="1" x14ac:dyDescent="0.2">
      <c r="B110" s="8" t="s">
        <v>181</v>
      </c>
      <c r="C110" s="9" t="s">
        <v>215</v>
      </c>
      <c r="D110" s="9" t="s">
        <v>216</v>
      </c>
      <c r="E110" s="46" t="s">
        <v>217</v>
      </c>
      <c r="F110" s="44"/>
    </row>
    <row r="111" spans="2:6" ht="52" customHeight="1" x14ac:dyDescent="0.2">
      <c r="B111" s="10" t="s">
        <v>186</v>
      </c>
      <c r="C111" s="11" t="s">
        <v>218</v>
      </c>
      <c r="D111" s="11" t="s">
        <v>219</v>
      </c>
      <c r="E111" s="45" t="s">
        <v>220</v>
      </c>
      <c r="F111" s="44"/>
    </row>
    <row r="112" spans="2:6" ht="24" customHeight="1" x14ac:dyDescent="0.2">
      <c r="B112" s="8" t="s">
        <v>191</v>
      </c>
      <c r="C112" s="9" t="s">
        <v>221</v>
      </c>
      <c r="D112" s="9" t="s">
        <v>222</v>
      </c>
      <c r="E112" s="46" t="s">
        <v>223</v>
      </c>
      <c r="F112" s="44"/>
    </row>
    <row r="113" spans="2:6" ht="38" customHeight="1" x14ac:dyDescent="0.2">
      <c r="B113" s="10" t="s">
        <v>195</v>
      </c>
      <c r="C113" s="11" t="s">
        <v>224</v>
      </c>
      <c r="D113" s="11" t="s">
        <v>225</v>
      </c>
      <c r="E113" s="45" t="s">
        <v>226</v>
      </c>
      <c r="F113" s="44"/>
    </row>
    <row r="115" spans="2:6" x14ac:dyDescent="0.2">
      <c r="B115" s="13" t="s">
        <v>227</v>
      </c>
    </row>
    <row r="116" spans="2:6" x14ac:dyDescent="0.2">
      <c r="B116" s="14" t="s">
        <v>228</v>
      </c>
    </row>
    <row r="118" spans="2:6" ht="22" customHeight="1" x14ac:dyDescent="0.2">
      <c r="B118" s="4" t="s">
        <v>229</v>
      </c>
      <c r="C118" s="5"/>
      <c r="D118" s="5"/>
      <c r="E118" s="5"/>
      <c r="F118" s="5"/>
    </row>
    <row r="120" spans="2:6" ht="26" customHeight="1" x14ac:dyDescent="0.2">
      <c r="B120" s="7" t="s">
        <v>21</v>
      </c>
      <c r="C120" s="47" t="s">
        <v>230</v>
      </c>
      <c r="D120" s="43"/>
      <c r="E120" s="43"/>
      <c r="F120" s="44"/>
    </row>
    <row r="121" spans="2:6" ht="38" customHeight="1" x14ac:dyDescent="0.2">
      <c r="B121" s="8" t="s">
        <v>231</v>
      </c>
      <c r="C121" s="46" t="s">
        <v>232</v>
      </c>
      <c r="D121" s="43"/>
      <c r="E121" s="43"/>
      <c r="F121" s="44"/>
    </row>
    <row r="122" spans="2:6" ht="38" customHeight="1" x14ac:dyDescent="0.2">
      <c r="B122" s="10" t="s">
        <v>233</v>
      </c>
      <c r="C122" s="45" t="s">
        <v>234</v>
      </c>
      <c r="D122" s="43"/>
      <c r="E122" s="43"/>
      <c r="F122" s="44"/>
    </row>
    <row r="123" spans="2:6" ht="38" customHeight="1" x14ac:dyDescent="0.2">
      <c r="B123" s="8" t="s">
        <v>235</v>
      </c>
      <c r="C123" s="46" t="s">
        <v>236</v>
      </c>
      <c r="D123" s="43"/>
      <c r="E123" s="43"/>
      <c r="F123" s="44"/>
    </row>
    <row r="124" spans="2:6" ht="38" customHeight="1" x14ac:dyDescent="0.2">
      <c r="B124" s="10" t="s">
        <v>237</v>
      </c>
      <c r="C124" s="45" t="s">
        <v>238</v>
      </c>
      <c r="D124" s="43"/>
      <c r="E124" s="43"/>
      <c r="F124" s="44"/>
    </row>
    <row r="125" spans="2:6" ht="24" customHeight="1" x14ac:dyDescent="0.2">
      <c r="B125" s="8" t="s">
        <v>239</v>
      </c>
      <c r="C125" s="46" t="s">
        <v>240</v>
      </c>
      <c r="D125" s="43"/>
      <c r="E125" s="43"/>
      <c r="F125" s="44"/>
    </row>
    <row r="126" spans="2:6" ht="38" customHeight="1" x14ac:dyDescent="0.2">
      <c r="B126" s="10" t="s">
        <v>241</v>
      </c>
      <c r="C126" s="45" t="s">
        <v>242</v>
      </c>
      <c r="D126" s="43"/>
      <c r="E126" s="43"/>
      <c r="F126" s="44"/>
    </row>
    <row r="128" spans="2:6" x14ac:dyDescent="0.2">
      <c r="B128" s="3" t="s">
        <v>243</v>
      </c>
    </row>
  </sheetData>
  <mergeCells count="47">
    <mergeCell ref="C126:F126"/>
    <mergeCell ref="E77:F77"/>
    <mergeCell ref="D85:F85"/>
    <mergeCell ref="D50:F50"/>
    <mergeCell ref="D88:F88"/>
    <mergeCell ref="C121:F121"/>
    <mergeCell ref="E110:F110"/>
    <mergeCell ref="E70:F70"/>
    <mergeCell ref="E113:F113"/>
    <mergeCell ref="C124:F124"/>
    <mergeCell ref="E76:F76"/>
    <mergeCell ref="C120:F120"/>
    <mergeCell ref="E112:F112"/>
    <mergeCell ref="E75:F75"/>
    <mergeCell ref="E66:F66"/>
    <mergeCell ref="D52:F52"/>
    <mergeCell ref="D9:F9"/>
    <mergeCell ref="E69:F69"/>
    <mergeCell ref="E78:F78"/>
    <mergeCell ref="E74:F74"/>
    <mergeCell ref="E65:F65"/>
    <mergeCell ref="D51:F51"/>
    <mergeCell ref="D20:F20"/>
    <mergeCell ref="D10:F10"/>
    <mergeCell ref="D19:F19"/>
    <mergeCell ref="B15:F15"/>
    <mergeCell ref="D21:F21"/>
    <mergeCell ref="D49:F49"/>
    <mergeCell ref="C125:F125"/>
    <mergeCell ref="B56:F56"/>
    <mergeCell ref="B58:F58"/>
    <mergeCell ref="E64:F64"/>
    <mergeCell ref="E79:F79"/>
    <mergeCell ref="D87:F87"/>
    <mergeCell ref="E73:F73"/>
    <mergeCell ref="D86:F86"/>
    <mergeCell ref="E109:F109"/>
    <mergeCell ref="C123:F123"/>
    <mergeCell ref="B91:F91"/>
    <mergeCell ref="D11:F11"/>
    <mergeCell ref="B62:F62"/>
    <mergeCell ref="E68:F68"/>
    <mergeCell ref="C122:F122"/>
    <mergeCell ref="E67:F67"/>
    <mergeCell ref="E111:F111"/>
    <mergeCell ref="B39:F39"/>
    <mergeCell ref="D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51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.5" customWidth="1"/>
    <col min="2" max="2" width="10" customWidth="1"/>
    <col min="3" max="3" width="13" customWidth="1"/>
    <col min="4" max="4" width="12" customWidth="1"/>
    <col min="5" max="5" width="58" customWidth="1"/>
    <col min="6" max="6" width="44" customWidth="1"/>
    <col min="7" max="7" width="15" customWidth="1"/>
    <col min="8" max="8" width="11" customWidth="1"/>
    <col min="9" max="9" width="2.5" customWidth="1"/>
  </cols>
  <sheetData>
    <row r="1" spans="2:9" ht="21" x14ac:dyDescent="0.25">
      <c r="B1" s="16" t="s">
        <v>244</v>
      </c>
    </row>
    <row r="2" spans="2:9" x14ac:dyDescent="0.2">
      <c r="B2" s="17" t="s">
        <v>245</v>
      </c>
    </row>
    <row r="4" spans="2:9" x14ac:dyDescent="0.2">
      <c r="B4" s="18" t="s">
        <v>246</v>
      </c>
    </row>
    <row r="5" spans="2:9" x14ac:dyDescent="0.2">
      <c r="B5" s="18" t="s">
        <v>247</v>
      </c>
    </row>
    <row r="7" spans="2:9" ht="22" customHeight="1" x14ac:dyDescent="0.2">
      <c r="B7" s="19" t="s">
        <v>248</v>
      </c>
      <c r="C7" s="20"/>
      <c r="D7" s="20"/>
      <c r="E7" s="20"/>
      <c r="F7" s="20"/>
      <c r="G7" s="20"/>
      <c r="H7" s="20"/>
    </row>
    <row r="9" spans="2:9" ht="28" customHeight="1" x14ac:dyDescent="0.2">
      <c r="B9" s="21" t="s">
        <v>249</v>
      </c>
      <c r="C9" s="21" t="s">
        <v>250</v>
      </c>
      <c r="D9" s="21" t="s">
        <v>251</v>
      </c>
      <c r="E9" s="21" t="s">
        <v>252</v>
      </c>
      <c r="F9" s="21" t="s">
        <v>253</v>
      </c>
      <c r="G9" s="21" t="s">
        <v>254</v>
      </c>
      <c r="H9" s="21" t="s">
        <v>255</v>
      </c>
      <c r="I9" s="21" t="s">
        <v>256</v>
      </c>
    </row>
    <row r="10" spans="2:9" ht="18" customHeight="1" x14ac:dyDescent="0.2">
      <c r="B10" s="22" t="s">
        <v>257</v>
      </c>
      <c r="C10" s="23" t="s">
        <v>258</v>
      </c>
      <c r="D10" s="24">
        <v>5473</v>
      </c>
      <c r="E10" s="24">
        <v>2337</v>
      </c>
      <c r="F10" s="25">
        <v>0.8</v>
      </c>
      <c r="G10" s="25">
        <v>0.02</v>
      </c>
      <c r="H10" s="24">
        <v>541</v>
      </c>
    </row>
    <row r="11" spans="2:9" ht="18" customHeight="1" x14ac:dyDescent="0.2">
      <c r="B11" s="26" t="s">
        <v>259</v>
      </c>
      <c r="C11" s="27" t="s">
        <v>260</v>
      </c>
      <c r="D11" s="28">
        <v>5835</v>
      </c>
      <c r="E11" s="28">
        <v>2834</v>
      </c>
      <c r="F11" s="29">
        <v>1.1499999999999999</v>
      </c>
      <c r="G11" s="29">
        <v>0.21299999999999999</v>
      </c>
      <c r="H11" s="28">
        <v>743</v>
      </c>
    </row>
    <row r="12" spans="2:9" ht="18" customHeight="1" x14ac:dyDescent="0.2">
      <c r="B12" s="22" t="s">
        <v>261</v>
      </c>
      <c r="C12" s="23" t="s">
        <v>262</v>
      </c>
      <c r="D12" s="24">
        <v>6819</v>
      </c>
      <c r="E12" s="24">
        <v>3549</v>
      </c>
      <c r="F12" s="25">
        <v>1.22</v>
      </c>
      <c r="G12" s="25">
        <v>0.252</v>
      </c>
      <c r="H12" s="24">
        <v>1041</v>
      </c>
    </row>
    <row r="13" spans="2:9" ht="18" customHeight="1" x14ac:dyDescent="0.2">
      <c r="B13" s="26" t="s">
        <v>263</v>
      </c>
      <c r="C13" s="27" t="s">
        <v>264</v>
      </c>
      <c r="D13" s="28">
        <v>7658</v>
      </c>
      <c r="E13" s="28">
        <v>3859</v>
      </c>
      <c r="F13" s="29">
        <v>0.69</v>
      </c>
      <c r="G13" s="29">
        <v>8.6999999999999994E-2</v>
      </c>
      <c r="H13" s="28">
        <v>1157</v>
      </c>
    </row>
    <row r="14" spans="2:9" ht="18" customHeight="1" x14ac:dyDescent="0.2">
      <c r="B14" s="22" t="s">
        <v>265</v>
      </c>
      <c r="C14" s="23" t="s">
        <v>266</v>
      </c>
      <c r="D14" s="24">
        <v>7438</v>
      </c>
      <c r="E14" s="24">
        <v>3674</v>
      </c>
      <c r="F14" s="25">
        <v>0.56999999999999995</v>
      </c>
      <c r="G14" s="25">
        <v>-4.8000000000000001E-2</v>
      </c>
      <c r="H14" s="24">
        <v>932</v>
      </c>
    </row>
    <row r="15" spans="2:9" ht="18" customHeight="1" x14ac:dyDescent="0.2">
      <c r="B15" s="26" t="s">
        <v>267</v>
      </c>
      <c r="C15" s="27" t="s">
        <v>268</v>
      </c>
      <c r="D15" s="28">
        <v>7685</v>
      </c>
      <c r="E15" s="28">
        <v>3236</v>
      </c>
      <c r="F15" s="29">
        <v>0.14000000000000001</v>
      </c>
      <c r="G15" s="29">
        <v>-0.11899999999999999</v>
      </c>
      <c r="H15" s="28">
        <v>-155</v>
      </c>
    </row>
    <row r="16" spans="2:9" ht="18" customHeight="1" x14ac:dyDescent="0.2">
      <c r="B16" s="22" t="s">
        <v>269</v>
      </c>
      <c r="C16" s="23" t="s">
        <v>270</v>
      </c>
      <c r="D16" s="24">
        <v>9246</v>
      </c>
      <c r="E16" s="24">
        <v>4338</v>
      </c>
      <c r="F16" s="25">
        <v>0.22</v>
      </c>
      <c r="G16" s="25">
        <v>0.34100000000000003</v>
      </c>
      <c r="H16" s="24">
        <v>1100</v>
      </c>
    </row>
    <row r="17" spans="2:8" ht="18" customHeight="1" x14ac:dyDescent="0.2">
      <c r="B17" s="26" t="s">
        <v>271</v>
      </c>
      <c r="C17" s="27" t="s">
        <v>272</v>
      </c>
      <c r="D17" s="28">
        <v>10300</v>
      </c>
      <c r="E17" s="28">
        <v>5380</v>
      </c>
      <c r="F17" s="29">
        <v>0.39</v>
      </c>
      <c r="G17" s="29">
        <v>0.24</v>
      </c>
      <c r="H17" s="28">
        <v>1800</v>
      </c>
    </row>
    <row r="18" spans="2:8" ht="18" customHeight="1" x14ac:dyDescent="0.2">
      <c r="B18" s="22" t="s">
        <v>273</v>
      </c>
      <c r="C18" s="23" t="s">
        <v>274</v>
      </c>
      <c r="D18" s="24">
        <v>10253</v>
      </c>
      <c r="E18" s="24">
        <v>5775</v>
      </c>
      <c r="F18" s="25">
        <v>0.56999999999999995</v>
      </c>
      <c r="G18" s="25">
        <v>7.2999999999999995E-2</v>
      </c>
      <c r="H18" s="24">
        <v>1600</v>
      </c>
    </row>
    <row r="19" spans="2:8" ht="18" customHeight="1" x14ac:dyDescent="0.2">
      <c r="B19" s="26" t="s">
        <v>275</v>
      </c>
      <c r="C19" s="27" t="s">
        <v>276</v>
      </c>
      <c r="D19" s="28">
        <v>11536</v>
      </c>
      <c r="E19" s="28">
        <v>6718</v>
      </c>
      <c r="F19" s="29">
        <v>1.07</v>
      </c>
      <c r="G19" s="29">
        <v>0.16</v>
      </c>
      <c r="H19" s="28">
        <v>2103</v>
      </c>
    </row>
    <row r="21" spans="2:8" x14ac:dyDescent="0.2">
      <c r="B21" s="30" t="s">
        <v>277</v>
      </c>
    </row>
    <row r="22" spans="2:8" x14ac:dyDescent="0.2">
      <c r="B22" s="30" t="s">
        <v>278</v>
      </c>
    </row>
    <row r="24" spans="2:8" ht="22" customHeight="1" x14ac:dyDescent="0.2">
      <c r="B24" s="19" t="s">
        <v>279</v>
      </c>
      <c r="C24" s="20"/>
      <c r="D24" s="20"/>
      <c r="E24" s="20"/>
      <c r="F24" s="20"/>
      <c r="G24" s="20"/>
      <c r="H24" s="20"/>
    </row>
    <row r="26" spans="2:8" x14ac:dyDescent="0.2">
      <c r="B26" s="31" t="s">
        <v>280</v>
      </c>
    </row>
    <row r="27" spans="2:8" ht="28" customHeight="1" x14ac:dyDescent="0.2">
      <c r="B27" s="21" t="s">
        <v>249</v>
      </c>
      <c r="C27" s="21" t="s">
        <v>32</v>
      </c>
      <c r="D27" s="54" t="s">
        <v>281</v>
      </c>
      <c r="E27" s="55"/>
      <c r="F27" s="55"/>
      <c r="G27" s="54" t="s">
        <v>213</v>
      </c>
      <c r="H27" s="55"/>
    </row>
    <row r="28" spans="2:8" ht="30" customHeight="1" x14ac:dyDescent="0.2">
      <c r="B28" s="22" t="s">
        <v>257</v>
      </c>
      <c r="C28" s="23" t="s">
        <v>282</v>
      </c>
      <c r="D28" s="50" t="s">
        <v>283</v>
      </c>
      <c r="E28" s="51"/>
      <c r="F28" s="51"/>
      <c r="G28" s="50" t="s">
        <v>284</v>
      </c>
      <c r="H28" s="51"/>
    </row>
    <row r="29" spans="2:8" ht="18" customHeight="1" x14ac:dyDescent="0.2">
      <c r="B29" s="26" t="s">
        <v>257</v>
      </c>
      <c r="C29" s="27" t="s">
        <v>285</v>
      </c>
      <c r="D29" s="48" t="s">
        <v>286</v>
      </c>
      <c r="E29" s="49"/>
      <c r="F29" s="49"/>
      <c r="G29" s="48" t="s">
        <v>287</v>
      </c>
      <c r="H29" s="49"/>
    </row>
    <row r="30" spans="2:8" ht="18" customHeight="1" x14ac:dyDescent="0.2">
      <c r="B30" s="22" t="s">
        <v>259</v>
      </c>
      <c r="C30" s="23" t="s">
        <v>282</v>
      </c>
      <c r="D30" s="50" t="s">
        <v>288</v>
      </c>
      <c r="E30" s="51"/>
      <c r="F30" s="51"/>
      <c r="G30" s="50" t="s">
        <v>289</v>
      </c>
      <c r="H30" s="51"/>
    </row>
    <row r="31" spans="2:8" ht="18" customHeight="1" x14ac:dyDescent="0.2">
      <c r="B31" s="26" t="s">
        <v>259</v>
      </c>
      <c r="C31" s="27" t="s">
        <v>285</v>
      </c>
      <c r="D31" s="48" t="s">
        <v>290</v>
      </c>
      <c r="E31" s="49"/>
      <c r="F31" s="49"/>
      <c r="G31" s="48" t="s">
        <v>287</v>
      </c>
      <c r="H31" s="49"/>
    </row>
    <row r="32" spans="2:8" ht="18" customHeight="1" x14ac:dyDescent="0.2">
      <c r="B32" s="22" t="s">
        <v>261</v>
      </c>
      <c r="C32" s="23" t="s">
        <v>282</v>
      </c>
      <c r="D32" s="50" t="s">
        <v>291</v>
      </c>
      <c r="E32" s="51"/>
      <c r="F32" s="51"/>
      <c r="G32" s="50" t="s">
        <v>284</v>
      </c>
      <c r="H32" s="51"/>
    </row>
    <row r="33" spans="2:8" ht="18" customHeight="1" x14ac:dyDescent="0.2">
      <c r="B33" s="26" t="s">
        <v>261</v>
      </c>
      <c r="C33" s="27" t="s">
        <v>285</v>
      </c>
      <c r="D33" s="48" t="s">
        <v>292</v>
      </c>
      <c r="E33" s="49"/>
      <c r="F33" s="49"/>
      <c r="G33" s="48" t="s">
        <v>287</v>
      </c>
      <c r="H33" s="49"/>
    </row>
    <row r="34" spans="2:8" ht="18" customHeight="1" x14ac:dyDescent="0.2">
      <c r="B34" s="22" t="s">
        <v>263</v>
      </c>
      <c r="C34" s="23" t="s">
        <v>282</v>
      </c>
      <c r="D34" s="50" t="s">
        <v>293</v>
      </c>
      <c r="E34" s="51"/>
      <c r="F34" s="51"/>
      <c r="G34" s="50" t="s">
        <v>294</v>
      </c>
      <c r="H34" s="51"/>
    </row>
    <row r="35" spans="2:8" ht="18" customHeight="1" x14ac:dyDescent="0.2">
      <c r="B35" s="26" t="s">
        <v>263</v>
      </c>
      <c r="C35" s="27" t="s">
        <v>285</v>
      </c>
      <c r="D35" s="48" t="s">
        <v>295</v>
      </c>
      <c r="E35" s="49"/>
      <c r="F35" s="49"/>
      <c r="G35" s="48" t="s">
        <v>296</v>
      </c>
      <c r="H35" s="49"/>
    </row>
    <row r="36" spans="2:8" ht="30" customHeight="1" x14ac:dyDescent="0.2">
      <c r="B36" s="22" t="s">
        <v>265</v>
      </c>
      <c r="C36" s="23" t="s">
        <v>282</v>
      </c>
      <c r="D36" s="50" t="s">
        <v>297</v>
      </c>
      <c r="E36" s="51"/>
      <c r="F36" s="51"/>
      <c r="G36" s="50" t="s">
        <v>298</v>
      </c>
      <c r="H36" s="51"/>
    </row>
    <row r="37" spans="2:8" ht="30" customHeight="1" x14ac:dyDescent="0.2">
      <c r="B37" s="26" t="s">
        <v>265</v>
      </c>
      <c r="C37" s="27" t="s">
        <v>285</v>
      </c>
      <c r="D37" s="48" t="s">
        <v>299</v>
      </c>
      <c r="E37" s="49"/>
      <c r="F37" s="49"/>
      <c r="G37" s="48" t="s">
        <v>300</v>
      </c>
      <c r="H37" s="49"/>
    </row>
    <row r="38" spans="2:8" ht="18" customHeight="1" x14ac:dyDescent="0.2">
      <c r="B38" s="22" t="s">
        <v>267</v>
      </c>
      <c r="C38" s="23" t="s">
        <v>282</v>
      </c>
      <c r="D38" s="50" t="s">
        <v>301</v>
      </c>
      <c r="E38" s="51"/>
      <c r="F38" s="51"/>
      <c r="G38" s="50" t="s">
        <v>302</v>
      </c>
      <c r="H38" s="51"/>
    </row>
    <row r="39" spans="2:8" ht="18" customHeight="1" x14ac:dyDescent="0.2">
      <c r="B39" s="26" t="s">
        <v>267</v>
      </c>
      <c r="C39" s="27" t="s">
        <v>285</v>
      </c>
      <c r="D39" s="48" t="s">
        <v>303</v>
      </c>
      <c r="E39" s="49"/>
      <c r="F39" s="49"/>
      <c r="G39" s="48" t="s">
        <v>302</v>
      </c>
      <c r="H39" s="49"/>
    </row>
    <row r="40" spans="2:8" ht="18" customHeight="1" x14ac:dyDescent="0.2">
      <c r="B40" s="22" t="s">
        <v>269</v>
      </c>
      <c r="C40" s="23" t="s">
        <v>282</v>
      </c>
      <c r="D40" s="50" t="s">
        <v>304</v>
      </c>
      <c r="E40" s="51"/>
      <c r="F40" s="51"/>
      <c r="G40" s="50" t="s">
        <v>300</v>
      </c>
      <c r="H40" s="51"/>
    </row>
    <row r="41" spans="2:8" ht="18" customHeight="1" x14ac:dyDescent="0.2">
      <c r="B41" s="26" t="s">
        <v>269</v>
      </c>
      <c r="C41" s="27" t="s">
        <v>285</v>
      </c>
      <c r="D41" s="48" t="s">
        <v>305</v>
      </c>
      <c r="E41" s="49"/>
      <c r="F41" s="49"/>
      <c r="G41" s="48" t="s">
        <v>300</v>
      </c>
      <c r="H41" s="49"/>
    </row>
    <row r="42" spans="2:8" ht="30" customHeight="1" x14ac:dyDescent="0.2">
      <c r="B42" s="22" t="s">
        <v>271</v>
      </c>
      <c r="C42" s="23" t="s">
        <v>282</v>
      </c>
      <c r="D42" s="50" t="s">
        <v>306</v>
      </c>
      <c r="E42" s="51"/>
      <c r="F42" s="51"/>
      <c r="G42" s="50" t="s">
        <v>307</v>
      </c>
      <c r="H42" s="51"/>
    </row>
    <row r="43" spans="2:8" ht="18" customHeight="1" x14ac:dyDescent="0.2">
      <c r="B43" s="26" t="s">
        <v>271</v>
      </c>
      <c r="C43" s="27" t="s">
        <v>285</v>
      </c>
      <c r="D43" s="48" t="s">
        <v>308</v>
      </c>
      <c r="E43" s="49"/>
      <c r="F43" s="49"/>
      <c r="G43" s="48" t="s">
        <v>309</v>
      </c>
      <c r="H43" s="49"/>
    </row>
    <row r="44" spans="2:8" ht="30" customHeight="1" x14ac:dyDescent="0.2">
      <c r="B44" s="22" t="s">
        <v>273</v>
      </c>
      <c r="C44" s="23" t="s">
        <v>282</v>
      </c>
      <c r="D44" s="50" t="s">
        <v>310</v>
      </c>
      <c r="E44" s="51"/>
      <c r="F44" s="51"/>
      <c r="G44" s="50" t="s">
        <v>302</v>
      </c>
      <c r="H44" s="51"/>
    </row>
    <row r="45" spans="2:8" ht="30" customHeight="1" x14ac:dyDescent="0.2">
      <c r="B45" s="26" t="s">
        <v>273</v>
      </c>
      <c r="C45" s="27" t="s">
        <v>285</v>
      </c>
      <c r="D45" s="48" t="s">
        <v>311</v>
      </c>
      <c r="E45" s="49"/>
      <c r="F45" s="49"/>
      <c r="G45" s="48" t="s">
        <v>312</v>
      </c>
      <c r="H45" s="49"/>
    </row>
    <row r="46" spans="2:8" ht="18" customHeight="1" x14ac:dyDescent="0.2">
      <c r="B46" s="22" t="s">
        <v>275</v>
      </c>
      <c r="C46" s="23" t="s">
        <v>282</v>
      </c>
      <c r="D46" s="50" t="s">
        <v>313</v>
      </c>
      <c r="E46" s="51"/>
      <c r="F46" s="51"/>
      <c r="G46" s="50" t="s">
        <v>312</v>
      </c>
      <c r="H46" s="51"/>
    </row>
    <row r="47" spans="2:8" ht="30" customHeight="1" x14ac:dyDescent="0.2">
      <c r="B47" s="26" t="s">
        <v>275</v>
      </c>
      <c r="C47" s="27" t="s">
        <v>285</v>
      </c>
      <c r="D47" s="48" t="s">
        <v>314</v>
      </c>
      <c r="E47" s="49"/>
      <c r="F47" s="49"/>
      <c r="G47" s="48" t="s">
        <v>315</v>
      </c>
      <c r="H47" s="49"/>
    </row>
    <row r="48" spans="2:8" ht="18" customHeight="1" x14ac:dyDescent="0.2">
      <c r="B48" s="22" t="s">
        <v>275</v>
      </c>
      <c r="C48" s="23" t="s">
        <v>316</v>
      </c>
      <c r="D48" s="50" t="s">
        <v>317</v>
      </c>
      <c r="E48" s="51"/>
      <c r="F48" s="51"/>
      <c r="G48" s="50" t="s">
        <v>318</v>
      </c>
      <c r="H48" s="51"/>
    </row>
    <row r="50" spans="2:8" ht="22" customHeight="1" x14ac:dyDescent="0.2">
      <c r="B50" s="19" t="s">
        <v>319</v>
      </c>
      <c r="C50" s="20"/>
      <c r="D50" s="20"/>
      <c r="E50" s="20"/>
      <c r="F50" s="20"/>
      <c r="G50" s="20"/>
      <c r="H50" s="20"/>
    </row>
    <row r="52" spans="2:8" ht="28" customHeight="1" x14ac:dyDescent="0.2">
      <c r="B52" s="54" t="s">
        <v>320</v>
      </c>
      <c r="C52" s="55"/>
      <c r="D52" s="54" t="s">
        <v>321</v>
      </c>
      <c r="E52" s="55"/>
      <c r="F52" s="55"/>
      <c r="G52" s="54" t="s">
        <v>322</v>
      </c>
      <c r="H52" s="55"/>
    </row>
    <row r="53" spans="2:8" ht="42" customHeight="1" x14ac:dyDescent="0.2">
      <c r="B53" s="52" t="s">
        <v>323</v>
      </c>
      <c r="C53" s="51"/>
      <c r="D53" s="50" t="s">
        <v>324</v>
      </c>
      <c r="E53" s="51"/>
      <c r="F53" s="51"/>
      <c r="G53" s="50" t="s">
        <v>325</v>
      </c>
      <c r="H53" s="51"/>
    </row>
    <row r="54" spans="2:8" ht="54" customHeight="1" x14ac:dyDescent="0.2">
      <c r="B54" s="53" t="s">
        <v>326</v>
      </c>
      <c r="C54" s="49"/>
      <c r="D54" s="48" t="s">
        <v>327</v>
      </c>
      <c r="E54" s="49"/>
      <c r="F54" s="49"/>
      <c r="G54" s="48" t="s">
        <v>328</v>
      </c>
      <c r="H54" s="49"/>
    </row>
    <row r="55" spans="2:8" ht="42" customHeight="1" x14ac:dyDescent="0.2">
      <c r="B55" s="52" t="s">
        <v>271</v>
      </c>
      <c r="C55" s="51"/>
      <c r="D55" s="50" t="s">
        <v>329</v>
      </c>
      <c r="E55" s="51"/>
      <c r="F55" s="51"/>
      <c r="G55" s="50" t="s">
        <v>330</v>
      </c>
      <c r="H55" s="51"/>
    </row>
    <row r="56" spans="2:8" ht="42" customHeight="1" x14ac:dyDescent="0.2">
      <c r="B56" s="53" t="s">
        <v>331</v>
      </c>
      <c r="C56" s="49"/>
      <c r="D56" s="48" t="s">
        <v>332</v>
      </c>
      <c r="E56" s="49"/>
      <c r="F56" s="49"/>
      <c r="G56" s="48" t="s">
        <v>333</v>
      </c>
      <c r="H56" s="49"/>
    </row>
    <row r="57" spans="2:8" ht="30" customHeight="1" x14ac:dyDescent="0.2">
      <c r="B57" s="52" t="s">
        <v>273</v>
      </c>
      <c r="C57" s="51"/>
      <c r="D57" s="50" t="s">
        <v>334</v>
      </c>
      <c r="E57" s="51"/>
      <c r="F57" s="51"/>
      <c r="G57" s="50" t="s">
        <v>335</v>
      </c>
      <c r="H57" s="51"/>
    </row>
    <row r="58" spans="2:8" ht="42" customHeight="1" x14ac:dyDescent="0.2">
      <c r="B58" s="53" t="s">
        <v>275</v>
      </c>
      <c r="C58" s="49"/>
      <c r="D58" s="48" t="s">
        <v>336</v>
      </c>
      <c r="E58" s="49"/>
      <c r="F58" s="49"/>
      <c r="G58" s="48" t="s">
        <v>337</v>
      </c>
      <c r="H58" s="49"/>
    </row>
    <row r="60" spans="2:8" ht="22" customHeight="1" x14ac:dyDescent="0.2">
      <c r="B60" s="19" t="s">
        <v>338</v>
      </c>
      <c r="C60" s="20"/>
      <c r="D60" s="20"/>
      <c r="E60" s="20"/>
      <c r="F60" s="20"/>
      <c r="G60" s="20"/>
      <c r="H60" s="20"/>
    </row>
    <row r="62" spans="2:8" ht="28" customHeight="1" x14ac:dyDescent="0.2">
      <c r="B62" s="54" t="s">
        <v>339</v>
      </c>
      <c r="C62" s="55"/>
      <c r="D62" s="54" t="s">
        <v>340</v>
      </c>
      <c r="E62" s="55"/>
      <c r="F62" s="55"/>
      <c r="G62" s="54" t="s">
        <v>341</v>
      </c>
      <c r="H62" s="55"/>
    </row>
    <row r="63" spans="2:8" ht="18" customHeight="1" x14ac:dyDescent="0.2">
      <c r="B63" s="52" t="s">
        <v>342</v>
      </c>
      <c r="C63" s="51"/>
      <c r="D63" s="50" t="s">
        <v>343</v>
      </c>
      <c r="E63" s="51"/>
      <c r="F63" s="51"/>
      <c r="G63" s="50" t="s">
        <v>344</v>
      </c>
      <c r="H63" s="51"/>
    </row>
    <row r="64" spans="2:8" ht="18" customHeight="1" x14ac:dyDescent="0.2">
      <c r="B64" s="53" t="s">
        <v>345</v>
      </c>
      <c r="C64" s="49"/>
      <c r="D64" s="48" t="s">
        <v>346</v>
      </c>
      <c r="E64" s="49"/>
      <c r="F64" s="49"/>
      <c r="G64" s="48" t="s">
        <v>347</v>
      </c>
      <c r="H64" s="49"/>
    </row>
    <row r="65" spans="2:8" ht="18" customHeight="1" x14ac:dyDescent="0.2">
      <c r="B65" s="52" t="s">
        <v>345</v>
      </c>
      <c r="C65" s="51"/>
      <c r="D65" s="50" t="s">
        <v>348</v>
      </c>
      <c r="E65" s="51"/>
      <c r="F65" s="51"/>
      <c r="G65" s="50" t="s">
        <v>347</v>
      </c>
      <c r="H65" s="51"/>
    </row>
    <row r="66" spans="2:8" ht="18" customHeight="1" x14ac:dyDescent="0.2">
      <c r="B66" s="53" t="s">
        <v>345</v>
      </c>
      <c r="C66" s="49"/>
      <c r="D66" s="48" t="s">
        <v>349</v>
      </c>
      <c r="E66" s="49"/>
      <c r="F66" s="49"/>
      <c r="G66" s="48" t="s">
        <v>350</v>
      </c>
      <c r="H66" s="49"/>
    </row>
    <row r="67" spans="2:8" ht="18" customHeight="1" x14ac:dyDescent="0.2">
      <c r="B67" s="52" t="s">
        <v>345</v>
      </c>
      <c r="C67" s="51"/>
      <c r="D67" s="50" t="s">
        <v>351</v>
      </c>
      <c r="E67" s="51"/>
      <c r="F67" s="51"/>
      <c r="G67" s="50" t="s">
        <v>352</v>
      </c>
      <c r="H67" s="51"/>
    </row>
    <row r="68" spans="2:8" ht="18" customHeight="1" x14ac:dyDescent="0.2">
      <c r="B68" s="53" t="s">
        <v>345</v>
      </c>
      <c r="C68" s="49"/>
      <c r="D68" s="48" t="s">
        <v>353</v>
      </c>
      <c r="E68" s="49"/>
      <c r="F68" s="49"/>
      <c r="G68" s="48" t="s">
        <v>354</v>
      </c>
      <c r="H68" s="49"/>
    </row>
    <row r="69" spans="2:8" ht="18" customHeight="1" x14ac:dyDescent="0.2">
      <c r="B69" s="52" t="s">
        <v>345</v>
      </c>
      <c r="C69" s="51"/>
      <c r="D69" s="50" t="s">
        <v>355</v>
      </c>
      <c r="E69" s="51"/>
      <c r="F69" s="51"/>
      <c r="G69" s="50" t="s">
        <v>356</v>
      </c>
      <c r="H69" s="51"/>
    </row>
    <row r="70" spans="2:8" ht="18" customHeight="1" x14ac:dyDescent="0.2">
      <c r="B70" s="53" t="s">
        <v>345</v>
      </c>
      <c r="C70" s="49"/>
      <c r="D70" s="48" t="s">
        <v>357</v>
      </c>
      <c r="E70" s="49"/>
      <c r="F70" s="49"/>
      <c r="G70" s="48" t="s">
        <v>358</v>
      </c>
      <c r="H70" s="49"/>
    </row>
    <row r="72" spans="2:8" ht="22" customHeight="1" x14ac:dyDescent="0.2">
      <c r="B72" s="19" t="s">
        <v>359</v>
      </c>
      <c r="C72" s="20"/>
      <c r="D72" s="20"/>
      <c r="E72" s="20"/>
      <c r="F72" s="20"/>
      <c r="G72" s="20"/>
      <c r="H72" s="20"/>
    </row>
    <row r="74" spans="2:8" x14ac:dyDescent="0.2">
      <c r="B74" s="31" t="s">
        <v>360</v>
      </c>
    </row>
    <row r="75" spans="2:8" ht="28" customHeight="1" x14ac:dyDescent="0.2">
      <c r="B75" s="21" t="s">
        <v>361</v>
      </c>
      <c r="C75" s="54" t="s">
        <v>362</v>
      </c>
      <c r="D75" s="55"/>
      <c r="E75" s="54" t="s">
        <v>363</v>
      </c>
      <c r="F75" s="55"/>
      <c r="G75" s="54" t="s">
        <v>364</v>
      </c>
      <c r="H75" s="55"/>
    </row>
    <row r="76" spans="2:8" ht="18" customHeight="1" x14ac:dyDescent="0.2">
      <c r="B76" s="22" t="s">
        <v>365</v>
      </c>
      <c r="C76" s="50" t="s">
        <v>366</v>
      </c>
      <c r="D76" s="51"/>
      <c r="E76" s="50" t="s">
        <v>367</v>
      </c>
      <c r="F76" s="51"/>
      <c r="G76" s="50" t="s">
        <v>216</v>
      </c>
      <c r="H76" s="51"/>
    </row>
    <row r="77" spans="2:8" ht="18" customHeight="1" x14ac:dyDescent="0.2">
      <c r="B77" s="26" t="s">
        <v>368</v>
      </c>
      <c r="C77" s="48" t="s">
        <v>369</v>
      </c>
      <c r="D77" s="49"/>
      <c r="E77" s="48" t="s">
        <v>370</v>
      </c>
      <c r="F77" s="49"/>
      <c r="G77" s="48" t="s">
        <v>371</v>
      </c>
      <c r="H77" s="49"/>
    </row>
    <row r="78" spans="2:8" ht="18" customHeight="1" x14ac:dyDescent="0.2">
      <c r="B78" s="22" t="s">
        <v>372</v>
      </c>
      <c r="C78" s="50" t="s">
        <v>259</v>
      </c>
      <c r="D78" s="51"/>
      <c r="E78" s="50" t="s">
        <v>373</v>
      </c>
      <c r="F78" s="51"/>
      <c r="G78" s="50" t="s">
        <v>371</v>
      </c>
      <c r="H78" s="51"/>
    </row>
    <row r="79" spans="2:8" ht="30" customHeight="1" x14ac:dyDescent="0.2">
      <c r="B79" s="26" t="s">
        <v>374</v>
      </c>
      <c r="C79" s="48" t="s">
        <v>265</v>
      </c>
      <c r="D79" s="49"/>
      <c r="E79" s="48" t="s">
        <v>375</v>
      </c>
      <c r="F79" s="49"/>
      <c r="G79" s="48" t="s">
        <v>376</v>
      </c>
      <c r="H79" s="49"/>
    </row>
    <row r="80" spans="2:8" ht="18" customHeight="1" x14ac:dyDescent="0.2">
      <c r="B80" s="22" t="s">
        <v>377</v>
      </c>
      <c r="C80" s="50" t="s">
        <v>265</v>
      </c>
      <c r="D80" s="51"/>
      <c r="E80" s="50" t="s">
        <v>378</v>
      </c>
      <c r="F80" s="51"/>
      <c r="G80" s="50" t="s">
        <v>379</v>
      </c>
      <c r="H80" s="51"/>
    </row>
    <row r="81" spans="2:8" ht="30" customHeight="1" x14ac:dyDescent="0.2">
      <c r="B81" s="26" t="s">
        <v>380</v>
      </c>
      <c r="C81" s="48" t="s">
        <v>267</v>
      </c>
      <c r="D81" s="49"/>
      <c r="E81" s="48" t="s">
        <v>381</v>
      </c>
      <c r="F81" s="49"/>
      <c r="G81" s="48" t="s">
        <v>382</v>
      </c>
      <c r="H81" s="49"/>
    </row>
    <row r="82" spans="2:8" ht="18" customHeight="1" x14ac:dyDescent="0.2">
      <c r="B82" s="22" t="s">
        <v>383</v>
      </c>
      <c r="C82" s="50" t="s">
        <v>267</v>
      </c>
      <c r="D82" s="51"/>
      <c r="E82" s="50" t="s">
        <v>384</v>
      </c>
      <c r="F82" s="51"/>
      <c r="G82" s="50" t="s">
        <v>385</v>
      </c>
      <c r="H82" s="51"/>
    </row>
    <row r="83" spans="2:8" ht="18" customHeight="1" x14ac:dyDescent="0.2">
      <c r="B83" s="26" t="s">
        <v>386</v>
      </c>
      <c r="C83" s="48" t="s">
        <v>271</v>
      </c>
      <c r="D83" s="49"/>
      <c r="E83" s="48" t="s">
        <v>387</v>
      </c>
      <c r="F83" s="49"/>
      <c r="G83" s="48" t="s">
        <v>388</v>
      </c>
      <c r="H83" s="49"/>
    </row>
    <row r="84" spans="2:8" ht="18" customHeight="1" x14ac:dyDescent="0.2">
      <c r="B84" s="22" t="s">
        <v>389</v>
      </c>
      <c r="C84" s="50" t="s">
        <v>271</v>
      </c>
      <c r="D84" s="51"/>
      <c r="E84" s="50" t="s">
        <v>390</v>
      </c>
      <c r="F84" s="51"/>
      <c r="G84" s="50" t="s">
        <v>371</v>
      </c>
      <c r="H84" s="51"/>
    </row>
    <row r="85" spans="2:8" ht="18" customHeight="1" x14ac:dyDescent="0.2">
      <c r="B85" s="26" t="s">
        <v>391</v>
      </c>
      <c r="C85" s="48" t="s">
        <v>273</v>
      </c>
      <c r="D85" s="49"/>
      <c r="E85" s="48" t="s">
        <v>392</v>
      </c>
      <c r="F85" s="49"/>
      <c r="G85" s="48" t="s">
        <v>371</v>
      </c>
      <c r="H85" s="49"/>
    </row>
    <row r="86" spans="2:8" ht="18" customHeight="1" x14ac:dyDescent="0.2">
      <c r="B86" s="22" t="s">
        <v>393</v>
      </c>
      <c r="C86" s="50" t="s">
        <v>273</v>
      </c>
      <c r="D86" s="51"/>
      <c r="E86" s="50" t="s">
        <v>394</v>
      </c>
      <c r="F86" s="51"/>
      <c r="G86" s="50" t="s">
        <v>395</v>
      </c>
      <c r="H86" s="51"/>
    </row>
    <row r="87" spans="2:8" ht="18" customHeight="1" x14ac:dyDescent="0.2">
      <c r="B87" s="26" t="s">
        <v>396</v>
      </c>
      <c r="C87" s="48" t="s">
        <v>273</v>
      </c>
      <c r="D87" s="49"/>
      <c r="E87" s="48" t="s">
        <v>397</v>
      </c>
      <c r="F87" s="49"/>
      <c r="G87" s="48" t="s">
        <v>371</v>
      </c>
      <c r="H87" s="49"/>
    </row>
    <row r="88" spans="2:8" ht="18" customHeight="1" x14ac:dyDescent="0.2">
      <c r="B88" s="22" t="s">
        <v>398</v>
      </c>
      <c r="C88" s="50" t="s">
        <v>275</v>
      </c>
      <c r="D88" s="51"/>
      <c r="E88" s="50" t="s">
        <v>399</v>
      </c>
      <c r="F88" s="51"/>
      <c r="G88" s="50" t="s">
        <v>400</v>
      </c>
      <c r="H88" s="51"/>
    </row>
    <row r="89" spans="2:8" ht="18" customHeight="1" x14ac:dyDescent="0.2">
      <c r="B89" s="26" t="s">
        <v>401</v>
      </c>
      <c r="C89" s="48" t="s">
        <v>275</v>
      </c>
      <c r="D89" s="49"/>
      <c r="E89" s="48" t="s">
        <v>402</v>
      </c>
      <c r="F89" s="49"/>
      <c r="G89" s="48" t="s">
        <v>403</v>
      </c>
      <c r="H89" s="49"/>
    </row>
    <row r="90" spans="2:8" ht="18" customHeight="1" x14ac:dyDescent="0.2">
      <c r="B90" s="22" t="s">
        <v>404</v>
      </c>
      <c r="C90" s="50" t="s">
        <v>275</v>
      </c>
      <c r="D90" s="51"/>
      <c r="E90" s="50" t="s">
        <v>405</v>
      </c>
      <c r="F90" s="51"/>
      <c r="G90" s="50" t="s">
        <v>406</v>
      </c>
      <c r="H90" s="51"/>
    </row>
    <row r="91" spans="2:8" ht="30" customHeight="1" x14ac:dyDescent="0.2">
      <c r="B91" s="26" t="s">
        <v>407</v>
      </c>
      <c r="C91" s="48" t="s">
        <v>408</v>
      </c>
      <c r="D91" s="49"/>
      <c r="E91" s="48" t="s">
        <v>409</v>
      </c>
      <c r="F91" s="49"/>
      <c r="G91" s="48" t="s">
        <v>410</v>
      </c>
      <c r="H91" s="49"/>
    </row>
    <row r="93" spans="2:8" x14ac:dyDescent="0.2">
      <c r="B93" s="32" t="s">
        <v>411</v>
      </c>
    </row>
    <row r="94" spans="2:8" x14ac:dyDescent="0.2">
      <c r="B94" s="31" t="s">
        <v>412</v>
      </c>
    </row>
    <row r="95" spans="2:8" x14ac:dyDescent="0.2">
      <c r="B95" s="31" t="s">
        <v>413</v>
      </c>
    </row>
    <row r="96" spans="2:8" x14ac:dyDescent="0.2">
      <c r="B96" s="30" t="s">
        <v>414</v>
      </c>
    </row>
    <row r="98" spans="2:8" ht="22" customHeight="1" x14ac:dyDescent="0.2">
      <c r="B98" s="19" t="s">
        <v>415</v>
      </c>
      <c r="C98" s="20"/>
      <c r="D98" s="20"/>
      <c r="E98" s="20"/>
      <c r="F98" s="20"/>
      <c r="G98" s="20"/>
      <c r="H98" s="20"/>
    </row>
    <row r="100" spans="2:8" x14ac:dyDescent="0.2">
      <c r="B100" s="31" t="s">
        <v>416</v>
      </c>
    </row>
    <row r="101" spans="2:8" x14ac:dyDescent="0.2">
      <c r="B101" s="31" t="s">
        <v>417</v>
      </c>
    </row>
    <row r="102" spans="2:8" x14ac:dyDescent="0.2">
      <c r="B102" s="33" t="s">
        <v>418</v>
      </c>
    </row>
    <row r="103" spans="2:8" ht="28" customHeight="1" x14ac:dyDescent="0.2">
      <c r="B103" s="21" t="s">
        <v>249</v>
      </c>
      <c r="C103" s="21" t="s">
        <v>419</v>
      </c>
      <c r="D103" s="21" t="s">
        <v>285</v>
      </c>
      <c r="E103" s="21" t="s">
        <v>282</v>
      </c>
      <c r="F103" s="21" t="s">
        <v>316</v>
      </c>
      <c r="G103" s="21" t="s">
        <v>420</v>
      </c>
      <c r="H103" s="21" t="s">
        <v>421</v>
      </c>
    </row>
    <row r="104" spans="2:8" ht="18" customHeight="1" x14ac:dyDescent="0.2">
      <c r="B104" s="22" t="s">
        <v>257</v>
      </c>
      <c r="C104" s="24">
        <v>2337</v>
      </c>
      <c r="D104" s="34" t="s">
        <v>422</v>
      </c>
      <c r="E104" s="24">
        <v>600</v>
      </c>
      <c r="F104" s="34" t="s">
        <v>422</v>
      </c>
      <c r="G104" s="35"/>
      <c r="H104" s="35"/>
    </row>
    <row r="105" spans="2:8" ht="18" customHeight="1" x14ac:dyDescent="0.2">
      <c r="B105" s="26" t="s">
        <v>259</v>
      </c>
      <c r="C105" s="28">
        <v>2834</v>
      </c>
      <c r="D105" s="36" t="s">
        <v>422</v>
      </c>
      <c r="E105" s="28">
        <v>1050</v>
      </c>
      <c r="F105" s="36" t="s">
        <v>422</v>
      </c>
      <c r="G105" s="37"/>
      <c r="H105" s="29">
        <f t="shared" ref="H105:H113" si="0">IF(OR(E105="",E104=""),"",E105/E104-1)</f>
        <v>0.75</v>
      </c>
    </row>
    <row r="106" spans="2:8" ht="18" customHeight="1" x14ac:dyDescent="0.2">
      <c r="B106" s="22" t="s">
        <v>261</v>
      </c>
      <c r="C106" s="24">
        <v>3549</v>
      </c>
      <c r="D106" s="24">
        <v>1954</v>
      </c>
      <c r="E106" s="24">
        <v>1500</v>
      </c>
      <c r="F106" s="24">
        <v>95</v>
      </c>
      <c r="G106" s="25" t="e">
        <f t="shared" ref="G106:G113" si="1">IF(OR(D106="",D105=""),"",D106/D105-1)</f>
        <v>#VALUE!</v>
      </c>
      <c r="H106" s="25">
        <f t="shared" si="0"/>
        <v>0.4285714285714286</v>
      </c>
    </row>
    <row r="107" spans="2:8" ht="18" customHeight="1" x14ac:dyDescent="0.2">
      <c r="B107" s="26" t="s">
        <v>263</v>
      </c>
      <c r="C107" s="28">
        <v>3859</v>
      </c>
      <c r="D107" s="28">
        <v>1554</v>
      </c>
      <c r="E107" s="28">
        <v>2200</v>
      </c>
      <c r="F107" s="28">
        <v>105</v>
      </c>
      <c r="G107" s="29">
        <f t="shared" si="1"/>
        <v>-0.20470829068577279</v>
      </c>
      <c r="H107" s="29">
        <f t="shared" si="0"/>
        <v>0.46666666666666656</v>
      </c>
    </row>
    <row r="108" spans="2:8" ht="18" customHeight="1" x14ac:dyDescent="0.2">
      <c r="B108" s="22" t="s">
        <v>265</v>
      </c>
      <c r="C108" s="24">
        <v>3674</v>
      </c>
      <c r="D108" s="24">
        <v>1164</v>
      </c>
      <c r="E108" s="24">
        <v>2400</v>
      </c>
      <c r="F108" s="24">
        <v>110</v>
      </c>
      <c r="G108" s="25">
        <f t="shared" si="1"/>
        <v>-0.25096525096525102</v>
      </c>
      <c r="H108" s="25">
        <f t="shared" si="0"/>
        <v>9.0909090909090828E-2</v>
      </c>
    </row>
    <row r="109" spans="2:8" ht="18" customHeight="1" x14ac:dyDescent="0.2">
      <c r="B109" s="26" t="s">
        <v>267</v>
      </c>
      <c r="C109" s="28">
        <v>3236</v>
      </c>
      <c r="D109" s="28">
        <v>2021</v>
      </c>
      <c r="E109" s="28">
        <v>1100</v>
      </c>
      <c r="F109" s="28">
        <v>115</v>
      </c>
      <c r="G109" s="29">
        <f t="shared" si="1"/>
        <v>0.7362542955326461</v>
      </c>
      <c r="H109" s="29">
        <f t="shared" si="0"/>
        <v>-0.54166666666666674</v>
      </c>
    </row>
    <row r="110" spans="2:8" ht="18" customHeight="1" x14ac:dyDescent="0.2">
      <c r="B110" s="22" t="s">
        <v>269</v>
      </c>
      <c r="C110" s="24">
        <v>4338</v>
      </c>
      <c r="D110" s="24">
        <v>2513</v>
      </c>
      <c r="E110" s="24">
        <v>1700</v>
      </c>
      <c r="F110" s="24">
        <v>125</v>
      </c>
      <c r="G110" s="25">
        <f t="shared" si="1"/>
        <v>0.24344383968332517</v>
      </c>
      <c r="H110" s="25">
        <f t="shared" si="0"/>
        <v>0.54545454545454541</v>
      </c>
    </row>
    <row r="111" spans="2:8" ht="18" customHeight="1" x14ac:dyDescent="0.2">
      <c r="B111" s="26" t="s">
        <v>271</v>
      </c>
      <c r="C111" s="28">
        <v>5380</v>
      </c>
      <c r="D111" s="28">
        <v>3345</v>
      </c>
      <c r="E111" s="28">
        <v>1900</v>
      </c>
      <c r="F111" s="28">
        <v>135</v>
      </c>
      <c r="G111" s="29">
        <f t="shared" si="1"/>
        <v>0.33107839235972936</v>
      </c>
      <c r="H111" s="29">
        <f t="shared" si="0"/>
        <v>0.11764705882352944</v>
      </c>
    </row>
    <row r="112" spans="2:8" ht="18" customHeight="1" x14ac:dyDescent="0.2">
      <c r="B112" s="22" t="s">
        <v>273</v>
      </c>
      <c r="C112" s="24">
        <v>5775</v>
      </c>
      <c r="D112" s="24">
        <v>3745</v>
      </c>
      <c r="E112" s="24">
        <v>1900</v>
      </c>
      <c r="F112" s="24">
        <v>130</v>
      </c>
      <c r="G112" s="25">
        <f t="shared" si="1"/>
        <v>0.11958146487294474</v>
      </c>
      <c r="H112" s="25">
        <f t="shared" si="0"/>
        <v>0</v>
      </c>
    </row>
    <row r="113" spans="2:8" ht="18" customHeight="1" x14ac:dyDescent="0.2">
      <c r="B113" s="26" t="s">
        <v>275</v>
      </c>
      <c r="C113" s="28">
        <v>6718</v>
      </c>
      <c r="D113" s="28">
        <v>4178</v>
      </c>
      <c r="E113" s="28">
        <v>2400</v>
      </c>
      <c r="F113" s="28">
        <v>140</v>
      </c>
      <c r="G113" s="29">
        <f t="shared" si="1"/>
        <v>0.11562082777036053</v>
      </c>
      <c r="H113" s="29">
        <f t="shared" si="0"/>
        <v>0.26315789473684204</v>
      </c>
    </row>
    <row r="115" spans="2:8" x14ac:dyDescent="0.2">
      <c r="B115" s="30" t="s">
        <v>423</v>
      </c>
    </row>
    <row r="117" spans="2:8" x14ac:dyDescent="0.2">
      <c r="B117" s="33" t="s">
        <v>424</v>
      </c>
    </row>
    <row r="118" spans="2:8" ht="28" customHeight="1" x14ac:dyDescent="0.2">
      <c r="B118" s="21" t="s">
        <v>361</v>
      </c>
      <c r="C118" s="54" t="s">
        <v>212</v>
      </c>
      <c r="D118" s="55"/>
      <c r="E118" s="55"/>
      <c r="F118" s="21" t="s">
        <v>425</v>
      </c>
      <c r="G118" s="21" t="s">
        <v>426</v>
      </c>
      <c r="H118" s="21" t="s">
        <v>427</v>
      </c>
    </row>
    <row r="119" spans="2:8" ht="18" customHeight="1" x14ac:dyDescent="0.2">
      <c r="B119" s="22" t="s">
        <v>368</v>
      </c>
      <c r="C119" s="50" t="s">
        <v>428</v>
      </c>
      <c r="D119" s="51"/>
      <c r="E119" s="51"/>
      <c r="F119" s="24">
        <f>SUM(E104,E105,E106,E107)</f>
        <v>5350</v>
      </c>
      <c r="G119" s="23" t="s">
        <v>429</v>
      </c>
      <c r="H119" s="38" t="str">
        <f>IF(F119&gt;5000,"PASS","FAIL")</f>
        <v>PASS</v>
      </c>
    </row>
    <row r="120" spans="2:8" ht="18" customHeight="1" x14ac:dyDescent="0.2">
      <c r="B120" s="26" t="s">
        <v>374</v>
      </c>
      <c r="C120" s="48" t="s">
        <v>430</v>
      </c>
      <c r="D120" s="49"/>
      <c r="E120" s="49"/>
      <c r="F120" s="29">
        <f>E108/E107-1</f>
        <v>9.0909090909090828E-2</v>
      </c>
      <c r="G120" s="27" t="s">
        <v>431</v>
      </c>
      <c r="H120" s="39" t="str">
        <f>IF(F120&lt;-0.2,"PASS","FAIL")</f>
        <v>FAIL</v>
      </c>
    </row>
    <row r="121" spans="2:8" ht="18" customHeight="1" x14ac:dyDescent="0.2">
      <c r="B121" s="22" t="s">
        <v>377</v>
      </c>
      <c r="C121" s="50" t="s">
        <v>432</v>
      </c>
      <c r="D121" s="51"/>
      <c r="E121" s="51"/>
      <c r="F121" s="25">
        <f>D108/D107-1</f>
        <v>-0.25096525096525102</v>
      </c>
      <c r="G121" s="23" t="s">
        <v>433</v>
      </c>
      <c r="H121" s="38" t="str">
        <f>IF(F121&gt;0,"PASS","FAIL")</f>
        <v>FAIL</v>
      </c>
    </row>
    <row r="122" spans="2:8" ht="18" customHeight="1" x14ac:dyDescent="0.2">
      <c r="B122" s="26" t="s">
        <v>380</v>
      </c>
      <c r="C122" s="48" t="s">
        <v>434</v>
      </c>
      <c r="D122" s="49"/>
      <c r="E122" s="49"/>
      <c r="F122" s="29">
        <f>E109/E105-1</f>
        <v>4.7619047619047672E-2</v>
      </c>
      <c r="G122" s="27" t="s">
        <v>435</v>
      </c>
      <c r="H122" s="39" t="str">
        <f>IF(F122&lt;0,"PASS","FAIL")</f>
        <v>FAIL</v>
      </c>
    </row>
    <row r="123" spans="2:8" ht="18" customHeight="1" x14ac:dyDescent="0.2">
      <c r="B123" s="22" t="s">
        <v>386</v>
      </c>
      <c r="C123" s="50" t="s">
        <v>436</v>
      </c>
      <c r="D123" s="51"/>
      <c r="E123" s="51"/>
      <c r="F123" s="25">
        <f>(E111-390)/E110-1</f>
        <v>-0.11176470588235299</v>
      </c>
      <c r="G123" s="23" t="s">
        <v>433</v>
      </c>
      <c r="H123" s="38" t="str">
        <f>IF(F123&gt;0,"PASS","FAIL")</f>
        <v>FAIL</v>
      </c>
    </row>
    <row r="124" spans="2:8" ht="18" customHeight="1" x14ac:dyDescent="0.2">
      <c r="B124" s="26" t="s">
        <v>391</v>
      </c>
      <c r="C124" s="48" t="s">
        <v>437</v>
      </c>
      <c r="D124" s="49"/>
      <c r="E124" s="49"/>
      <c r="F124" s="29">
        <f>E112/E111-1</f>
        <v>0</v>
      </c>
      <c r="G124" s="27" t="s">
        <v>435</v>
      </c>
      <c r="H124" s="39" t="str">
        <f>IF(F124&lt;0,"PASS","FAIL")</f>
        <v>FAIL</v>
      </c>
    </row>
    <row r="125" spans="2:8" ht="18" customHeight="1" x14ac:dyDescent="0.2">
      <c r="B125" s="22" t="s">
        <v>393</v>
      </c>
      <c r="C125" s="50" t="s">
        <v>438</v>
      </c>
      <c r="D125" s="51"/>
      <c r="E125" s="51"/>
      <c r="F125" s="25">
        <f>D112/D108-1</f>
        <v>2.2173539518900345</v>
      </c>
      <c r="G125" s="23" t="s">
        <v>439</v>
      </c>
      <c r="H125" s="38" t="str">
        <f>IF(F125&gt;0.5,"PASS","FAIL")</f>
        <v>PASS</v>
      </c>
    </row>
    <row r="126" spans="2:8" ht="18" customHeight="1" x14ac:dyDescent="0.2">
      <c r="B126" s="26" t="s">
        <v>398</v>
      </c>
      <c r="C126" s="48" t="s">
        <v>440</v>
      </c>
      <c r="D126" s="49"/>
      <c r="E126" s="49"/>
      <c r="F126" s="29">
        <f>D113/D109-1</f>
        <v>1.0672934190994559</v>
      </c>
      <c r="G126" s="27" t="s">
        <v>441</v>
      </c>
      <c r="H126" s="39" t="str">
        <f>IF(F126&gt;0.7,"PASS","FAIL")</f>
        <v>PASS</v>
      </c>
    </row>
    <row r="127" spans="2:8" ht="18" customHeight="1" x14ac:dyDescent="0.2">
      <c r="B127" s="22" t="s">
        <v>401</v>
      </c>
      <c r="C127" s="50" t="s">
        <v>442</v>
      </c>
      <c r="D127" s="51"/>
      <c r="E127" s="51"/>
      <c r="F127" s="25">
        <f>D113/D109-1</f>
        <v>1.0672934190994559</v>
      </c>
      <c r="G127" s="23" t="s">
        <v>443</v>
      </c>
      <c r="H127" s="38" t="str">
        <f>IF(F127&lt;1,"PASS","FAIL")</f>
        <v>FAIL</v>
      </c>
    </row>
    <row r="128" spans="2:8" ht="18" customHeight="1" x14ac:dyDescent="0.2">
      <c r="B128" s="26" t="s">
        <v>404</v>
      </c>
      <c r="C128" s="48" t="s">
        <v>444</v>
      </c>
      <c r="D128" s="49"/>
      <c r="E128" s="49"/>
      <c r="F128" s="29">
        <f>E113/E109-1</f>
        <v>1.1818181818181817</v>
      </c>
      <c r="G128" s="27" t="s">
        <v>445</v>
      </c>
      <c r="H128" s="39" t="str">
        <f>IF(F128&gt;1,"PASS","FAIL")</f>
        <v>PASS</v>
      </c>
    </row>
    <row r="129" spans="2:8" ht="18" customHeight="1" x14ac:dyDescent="0.2">
      <c r="B129" s="22" t="s">
        <v>407</v>
      </c>
      <c r="C129" s="50" t="s">
        <v>446</v>
      </c>
      <c r="D129" s="51"/>
      <c r="E129" s="51"/>
      <c r="F129" s="40">
        <f>IF(AND(D110&gt;D109,D111&gt;D110,D112&gt;D111,D113&gt;D112),1,0)</f>
        <v>1</v>
      </c>
      <c r="G129" s="38">
        <f>1</f>
        <v>1</v>
      </c>
      <c r="H129" s="38" t="str">
        <f>IF(F129=1,"PASS","FAIL")</f>
        <v>PASS</v>
      </c>
    </row>
    <row r="131" spans="2:8" ht="18" customHeight="1" x14ac:dyDescent="0.2">
      <c r="B131" s="41" t="s">
        <v>447</v>
      </c>
      <c r="C131" s="56" t="str">
        <f>IF(COUNTIF(H119:H129,"FAIL")=0,"v2 split satisfies every constraint",COUNTIF(H119:H129,"FAIL")&amp;" of 11 constraints FAIL -&gt; the split has to be re-solved. This is step 2.")</f>
        <v>6 of 11 constraints FAIL -&gt; the split has to be re-solved. This is step 2.</v>
      </c>
      <c r="D131" s="57"/>
      <c r="E131" s="57"/>
      <c r="F131" s="57"/>
      <c r="G131" s="57"/>
      <c r="H131" s="57"/>
    </row>
    <row r="133" spans="2:8" x14ac:dyDescent="0.2">
      <c r="B133" s="32" t="s">
        <v>448</v>
      </c>
    </row>
    <row r="134" spans="2:8" x14ac:dyDescent="0.2">
      <c r="B134" s="31" t="s">
        <v>449</v>
      </c>
    </row>
    <row r="135" spans="2:8" x14ac:dyDescent="0.2">
      <c r="B135" s="31" t="s">
        <v>450</v>
      </c>
    </row>
    <row r="136" spans="2:8" x14ac:dyDescent="0.2">
      <c r="B136" s="31" t="s">
        <v>451</v>
      </c>
    </row>
    <row r="138" spans="2:8" x14ac:dyDescent="0.2">
      <c r="B138" s="32" t="s">
        <v>452</v>
      </c>
    </row>
    <row r="139" spans="2:8" x14ac:dyDescent="0.2">
      <c r="B139" s="31" t="s">
        <v>453</v>
      </c>
    </row>
    <row r="140" spans="2:8" x14ac:dyDescent="0.2">
      <c r="B140" s="30" t="s">
        <v>454</v>
      </c>
    </row>
    <row r="142" spans="2:8" ht="22" customHeight="1" x14ac:dyDescent="0.2">
      <c r="B142" s="19" t="s">
        <v>455</v>
      </c>
      <c r="C142" s="20"/>
      <c r="D142" s="20"/>
      <c r="E142" s="20"/>
      <c r="F142" s="20"/>
      <c r="G142" s="20"/>
      <c r="H142" s="20"/>
    </row>
    <row r="144" spans="2:8" ht="28" customHeight="1" x14ac:dyDescent="0.2">
      <c r="B144" s="54"/>
      <c r="C144" s="55"/>
      <c r="D144" s="54" t="s">
        <v>456</v>
      </c>
      <c r="E144" s="55"/>
      <c r="F144" s="55"/>
      <c r="G144" s="55"/>
      <c r="H144" s="55"/>
    </row>
    <row r="145" spans="2:8" ht="18" customHeight="1" x14ac:dyDescent="0.2">
      <c r="B145" s="52" t="s">
        <v>457</v>
      </c>
      <c r="C145" s="51"/>
      <c r="D145" s="50" t="s">
        <v>458</v>
      </c>
      <c r="E145" s="51"/>
      <c r="F145" s="51"/>
      <c r="G145" s="51"/>
      <c r="H145" s="51"/>
    </row>
    <row r="146" spans="2:8" ht="18" customHeight="1" x14ac:dyDescent="0.2">
      <c r="B146" s="53" t="s">
        <v>222</v>
      </c>
      <c r="C146" s="49"/>
      <c r="D146" s="48" t="s">
        <v>459</v>
      </c>
      <c r="E146" s="49"/>
      <c r="F146" s="49"/>
      <c r="G146" s="49"/>
      <c r="H146" s="49"/>
    </row>
    <row r="147" spans="2:8" ht="18" customHeight="1" x14ac:dyDescent="0.2">
      <c r="B147" s="52" t="s">
        <v>460</v>
      </c>
      <c r="C147" s="51"/>
      <c r="D147" s="50" t="s">
        <v>461</v>
      </c>
      <c r="E147" s="51"/>
      <c r="F147" s="51"/>
      <c r="G147" s="51"/>
      <c r="H147" s="51"/>
    </row>
    <row r="148" spans="2:8" ht="18" customHeight="1" x14ac:dyDescent="0.2">
      <c r="B148" s="53" t="s">
        <v>462</v>
      </c>
      <c r="C148" s="49"/>
      <c r="D148" s="48" t="s">
        <v>463</v>
      </c>
      <c r="E148" s="49"/>
      <c r="F148" s="49"/>
      <c r="G148" s="49"/>
      <c r="H148" s="49"/>
    </row>
    <row r="149" spans="2:8" ht="18" customHeight="1" x14ac:dyDescent="0.2">
      <c r="B149" s="52" t="s">
        <v>464</v>
      </c>
      <c r="C149" s="51"/>
      <c r="D149" s="50" t="s">
        <v>465</v>
      </c>
      <c r="E149" s="51"/>
      <c r="F149" s="51"/>
      <c r="G149" s="51"/>
      <c r="H149" s="51"/>
    </row>
    <row r="151" spans="2:8" x14ac:dyDescent="0.2">
      <c r="B151" s="18" t="s">
        <v>466</v>
      </c>
    </row>
  </sheetData>
  <mergeCells count="168">
    <mergeCell ref="G29:H29"/>
    <mergeCell ref="B68:C68"/>
    <mergeCell ref="G47:H47"/>
    <mergeCell ref="C81:D81"/>
    <mergeCell ref="D65:F65"/>
    <mergeCell ref="G31:H31"/>
    <mergeCell ref="G46:H46"/>
    <mergeCell ref="D52:F52"/>
    <mergeCell ref="G40:H40"/>
    <mergeCell ref="C78:D78"/>
    <mergeCell ref="G27:H27"/>
    <mergeCell ref="D70:F70"/>
    <mergeCell ref="D48:F48"/>
    <mergeCell ref="G36:H36"/>
    <mergeCell ref="C88:D88"/>
    <mergeCell ref="E88:F88"/>
    <mergeCell ref="D149:H149"/>
    <mergeCell ref="E82:F82"/>
    <mergeCell ref="G82:H82"/>
    <mergeCell ref="B70:C70"/>
    <mergeCell ref="C120:E120"/>
    <mergeCell ref="D62:F62"/>
    <mergeCell ref="C119:E119"/>
    <mergeCell ref="D56:F56"/>
    <mergeCell ref="B145:C145"/>
    <mergeCell ref="G53:H53"/>
    <mergeCell ref="G28:H28"/>
    <mergeCell ref="D64:F64"/>
    <mergeCell ref="D38:F38"/>
    <mergeCell ref="G83:H83"/>
    <mergeCell ref="B147:C147"/>
    <mergeCell ref="G30:H30"/>
    <mergeCell ref="C131:H131"/>
    <mergeCell ref="G45:H45"/>
    <mergeCell ref="G32:H32"/>
    <mergeCell ref="G63:H63"/>
    <mergeCell ref="E81:F81"/>
    <mergeCell ref="G41:H41"/>
    <mergeCell ref="D36:F36"/>
    <mergeCell ref="D45:F45"/>
    <mergeCell ref="D148:H148"/>
    <mergeCell ref="G56:H56"/>
    <mergeCell ref="G43:H43"/>
    <mergeCell ref="G52:H52"/>
    <mergeCell ref="C124:E124"/>
    <mergeCell ref="B65:C65"/>
    <mergeCell ref="D63:F63"/>
    <mergeCell ref="G55:H55"/>
    <mergeCell ref="C87:D87"/>
    <mergeCell ref="E78:F78"/>
    <mergeCell ref="C80:D80"/>
    <mergeCell ref="D33:F33"/>
    <mergeCell ref="G78:H78"/>
    <mergeCell ref="C122:E122"/>
    <mergeCell ref="B148:C148"/>
    <mergeCell ref="D42:F42"/>
    <mergeCell ref="G87:H87"/>
    <mergeCell ref="E77:F77"/>
    <mergeCell ref="E86:F86"/>
    <mergeCell ref="D147:H147"/>
    <mergeCell ref="E80:F80"/>
    <mergeCell ref="B146:C146"/>
    <mergeCell ref="D35:F35"/>
    <mergeCell ref="G80:H80"/>
    <mergeCell ref="E89:F89"/>
    <mergeCell ref="D44:F44"/>
    <mergeCell ref="G89:H89"/>
    <mergeCell ref="G64:H64"/>
    <mergeCell ref="D34:F34"/>
    <mergeCell ref="G79:H79"/>
    <mergeCell ref="G54:H54"/>
    <mergeCell ref="B62:C62"/>
    <mergeCell ref="G35:H35"/>
    <mergeCell ref="C91:D91"/>
    <mergeCell ref="C82:D82"/>
    <mergeCell ref="E76:F76"/>
    <mergeCell ref="D31:F31"/>
    <mergeCell ref="D46:F46"/>
    <mergeCell ref="G76:H76"/>
    <mergeCell ref="G90:H90"/>
    <mergeCell ref="D40:F40"/>
    <mergeCell ref="C77:D77"/>
    <mergeCell ref="B54:C54"/>
    <mergeCell ref="C86:D86"/>
    <mergeCell ref="D32:F32"/>
    <mergeCell ref="G42:H42"/>
    <mergeCell ref="E83:F83"/>
    <mergeCell ref="B56:C56"/>
    <mergeCell ref="G39:H39"/>
    <mergeCell ref="B58:C58"/>
    <mergeCell ref="B52:C52"/>
    <mergeCell ref="C85:D85"/>
    <mergeCell ref="D58:F58"/>
    <mergeCell ref="G37:H37"/>
    <mergeCell ref="C75:D75"/>
    <mergeCell ref="C84:D84"/>
    <mergeCell ref="D27:F27"/>
    <mergeCell ref="D41:F41"/>
    <mergeCell ref="G86:H86"/>
    <mergeCell ref="C118:E118"/>
    <mergeCell ref="C127:E127"/>
    <mergeCell ref="G67:H67"/>
    <mergeCell ref="B66:C66"/>
    <mergeCell ref="G70:H70"/>
    <mergeCell ref="G48:H48"/>
    <mergeCell ref="D43:F43"/>
    <mergeCell ref="G38:H38"/>
    <mergeCell ref="G62:H62"/>
    <mergeCell ref="D68:F68"/>
    <mergeCell ref="B53:C53"/>
    <mergeCell ref="D55:F55"/>
    <mergeCell ref="C125:E125"/>
    <mergeCell ref="D67:F67"/>
    <mergeCell ref="C90:D90"/>
    <mergeCell ref="E90:F90"/>
    <mergeCell ref="G33:H33"/>
    <mergeCell ref="D54:F54"/>
    <mergeCell ref="G65:H65"/>
    <mergeCell ref="D69:F69"/>
    <mergeCell ref="G88:H88"/>
    <mergeCell ref="D28:F28"/>
    <mergeCell ref="E87:F87"/>
    <mergeCell ref="D37:F37"/>
    <mergeCell ref="C123:E123"/>
    <mergeCell ref="B67:C67"/>
    <mergeCell ref="G57:H57"/>
    <mergeCell ref="G66:H66"/>
    <mergeCell ref="D30:F30"/>
    <mergeCell ref="D39:F39"/>
    <mergeCell ref="B69:C69"/>
    <mergeCell ref="G34:H34"/>
    <mergeCell ref="D29:F29"/>
    <mergeCell ref="G68:H68"/>
    <mergeCell ref="C76:D76"/>
    <mergeCell ref="G58:H58"/>
    <mergeCell ref="B55:C55"/>
    <mergeCell ref="E91:F91"/>
    <mergeCell ref="B64:C64"/>
    <mergeCell ref="E85:F85"/>
    <mergeCell ref="G91:H91"/>
    <mergeCell ref="G85:H85"/>
    <mergeCell ref="E75:F75"/>
    <mergeCell ref="G44:H44"/>
    <mergeCell ref="B63:C63"/>
    <mergeCell ref="G81:H81"/>
    <mergeCell ref="C129:E129"/>
    <mergeCell ref="D66:F66"/>
    <mergeCell ref="C89:D89"/>
    <mergeCell ref="B149:C149"/>
    <mergeCell ref="D53:F53"/>
    <mergeCell ref="D47:F47"/>
    <mergeCell ref="C79:D79"/>
    <mergeCell ref="E79:F79"/>
    <mergeCell ref="C126:E126"/>
    <mergeCell ref="G75:H75"/>
    <mergeCell ref="G84:H84"/>
    <mergeCell ref="C128:E128"/>
    <mergeCell ref="D57:F57"/>
    <mergeCell ref="C83:D83"/>
    <mergeCell ref="D144:H144"/>
    <mergeCell ref="G77:H77"/>
    <mergeCell ref="D146:H146"/>
    <mergeCell ref="C121:E121"/>
    <mergeCell ref="B144:C144"/>
    <mergeCell ref="E84:F84"/>
    <mergeCell ref="D145:H145"/>
    <mergeCell ref="G69:H69"/>
    <mergeCell ref="B57:C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 Methodology</vt:lpstr>
      <vt:lpstr>01 Disclosure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Harvey Xie</cp:lastModifiedBy>
  <dcterms:created xsi:type="dcterms:W3CDTF">2026-08-10T00:11:10Z</dcterms:created>
  <dcterms:modified xsi:type="dcterms:W3CDTF">2026-08-11T06:31:52Z</dcterms:modified>
</cp:coreProperties>
</file>