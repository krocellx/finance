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IG_Scenario" sheetId="3" state="visible" r:id="rId3"/>
    <sheet xmlns:r="http://schemas.openxmlformats.org/officeDocument/2006/relationships" name="HY_Scenario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Data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4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3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vertical="top" wrapText="1"/>
    </xf>
    <xf numFmtId="10" fontId="0" fillId="5" borderId="0" pivotButton="0" quotePrefix="0" xfId="0"/>
    <xf numFmtId="164" fontId="0" fillId="5" borderId="0" pivotButton="0" quotePrefix="0" xfId="0"/>
    <xf numFmtId="10" fontId="0" fillId="4" borderId="0" pivotButton="0" quotePrefix="0" xfId="0"/>
    <xf numFmtId="10" fontId="0" fillId="6" borderId="0" pivotButton="0" quotePrefix="0" xfId="0"/>
    <xf numFmtId="164" fontId="0" fillId="6" borderId="0" pivotButton="0" quotePrefix="0" xfId="0"/>
    <xf numFmtId="164" fontId="0" fillId="3" borderId="0" pivotButton="0" quotePrefix="0" xfId="0"/>
    <xf numFmtId="3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7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5" borderId="0" pivotButton="0" quotePrefix="0" xfId="0"/>
    <xf numFmtId="9" fontId="0" fillId="3" borderId="0" pivotButton="0" quotePrefix="0" xfId="0"/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78" customWidth="1" min="3" max="3"/>
  </cols>
  <sheetData>
    <row r="2">
      <c r="B2" s="1" t="inlineStr">
        <is>
          <t>AI Credit - Forward Scenario Model</t>
        </is>
      </c>
    </row>
    <row r="3">
      <c r="B3" s="2" t="inlineStr">
        <is>
          <t>Backs Public Fixed Income section 3. Built 19 Aug 2026.</t>
        </is>
      </c>
    </row>
    <row r="5">
      <c r="B5" s="3" t="inlineStr">
        <is>
          <t>COLOUR KEY</t>
        </is>
      </c>
    </row>
    <row r="6">
      <c r="B6" s="4" t="inlineStr">
        <is>
          <t>GREEN - you update</t>
        </is>
      </c>
      <c r="C6" t="inlineStr">
        <is>
          <t>Client / index data. The only cells you need to change.</t>
        </is>
      </c>
    </row>
    <row r="7">
      <c r="B7" s="5" t="inlineStr">
        <is>
          <t>BLUE - sourced, do not edit</t>
        </is>
      </c>
      <c r="C7" t="inlineStr">
        <is>
          <t>Printed figure from a research PDF. Citation on Sources tab.</t>
        </is>
      </c>
    </row>
    <row r="8">
      <c r="B8" s="6" t="inlineStr">
        <is>
          <t>YELLOW - judgement</t>
        </is>
      </c>
      <c r="C8" t="inlineStr">
        <is>
          <t>Explicit assumption. Rationale on Sources tab. Change only with a stated reason.</t>
        </is>
      </c>
    </row>
    <row r="9">
      <c r="B9" s="7" t="inlineStr">
        <is>
          <t>GREY - calculated</t>
        </is>
      </c>
      <c r="C9" t="inlineStr">
        <is>
          <t>Formula. Do not overwrite.</t>
        </is>
      </c>
    </row>
    <row r="11">
      <c r="B11" s="3" t="inlineStr">
        <is>
          <t>UPDATE ORDER</t>
        </is>
      </c>
    </row>
    <row r="12">
      <c r="B12" s="8" t="inlineStr">
        <is>
          <t>1. C0A0 market value (dirty MV, $bn)</t>
        </is>
      </c>
      <c r="C12" s="9" t="inlineStr">
        <is>
          <t>Inputs!C6 - currently 9,400 from your Aug-26 read</t>
        </is>
      </c>
    </row>
    <row r="13">
      <c r="B13" s="8" t="inlineStr">
        <is>
          <t>2. C0A0 par market value</t>
        </is>
      </c>
      <c r="C13" s="9" t="inlineStr">
        <is>
          <t>Inputs!C7 - BLANK. Needed to confirm par vs dirty basis</t>
        </is>
      </c>
    </row>
    <row r="14">
      <c r="B14" s="8" t="inlineStr">
        <is>
          <t>3. H0A0 market value ($bn)</t>
        </is>
      </c>
      <c r="C14" s="9" t="inlineStr">
        <is>
          <t>Inputs!C27 - currently a back-solve, NOT index data</t>
        </is>
      </c>
    </row>
    <row r="15">
      <c r="B15" s="8" t="inlineStr">
        <is>
          <t>4. IG non-AI growth g (low/base/high)</t>
        </is>
      </c>
      <c r="C15" s="9" t="inlineStr">
        <is>
          <t>Inputs!C10:C12 - placeholder 3/4/5%. Replace with C0A0 trailing CAGR</t>
        </is>
      </c>
    </row>
    <row r="16">
      <c r="B16" s="8" t="inlineStr">
        <is>
          <t>5. HY non-AI growth g</t>
        </is>
      </c>
      <c r="C16" s="9" t="inlineStr">
        <is>
          <t>Inputs!C29 - placeholder 3%. Replace with H0A0 trailing CAGR</t>
        </is>
      </c>
    </row>
    <row r="18">
      <c r="B18" s="3" t="inlineStr">
        <is>
          <t>SENSITIVITY - what moves the answer</t>
        </is>
      </c>
    </row>
    <row r="19">
      <c r="B19" t="inlineStr">
        <is>
          <t>C0A0 +/- $1tn</t>
        </is>
      </c>
      <c r="C19" t="inlineStr">
        <is>
          <t>IG 2030 result moves ~1.2pp</t>
        </is>
      </c>
    </row>
    <row r="20">
      <c r="B20" t="inlineStr">
        <is>
          <t>IG g from 3% to 5%</t>
        </is>
      </c>
      <c r="C20" t="inlineStr">
        <is>
          <t>IG 2030 result moves ~1.0pp</t>
        </is>
      </c>
    </row>
    <row r="21">
      <c r="B21" t="inlineStr">
        <is>
          <t>H0A0 +/- $200bn</t>
        </is>
      </c>
      <c r="C21" t="inlineStr">
        <is>
          <t>HY 2030 result moves ~1.3pp</t>
        </is>
      </c>
    </row>
    <row r="22">
      <c r="B22" t="inlineStr">
        <is>
          <t>HY graduation rate 25% -&gt; 80%</t>
        </is>
      </c>
      <c r="C22" t="inlineStr">
        <is>
          <t>Drives the ENTIRE 6-12% HY range. Biggest single unknown in the section.</t>
        </is>
      </c>
    </row>
    <row r="24">
      <c r="B24" s="3" t="inlineStr">
        <is>
          <t>MODEL IDENTITY (both sleeves)</t>
        </is>
      </c>
    </row>
    <row r="25">
      <c r="B25" s="10" t="inlineStr">
        <is>
          <t>W2030 = (S0 + N) / ( (D0 - S0) x (1+g)^h + S0 + N )</t>
        </is>
      </c>
    </row>
    <row r="26">
      <c r="C26" s="2" t="inlineStr">
        <is>
          <t>S0 = W0 x D0 is the current AI stock in the benchmark.</t>
        </is>
      </c>
    </row>
    <row r="27">
      <c r="C27" s="2" t="inlineStr">
        <is>
          <t>N is NET NEW AI debt retained in that benchmark by end-2030 - not gross issuance.</t>
        </is>
      </c>
    </row>
    <row r="28">
      <c r="C28" s="2" t="inlineStr">
        <is>
          <t>g applies to the NON-AI remainder only, because AI issuance is itself index growth.</t>
        </is>
      </c>
    </row>
    <row r="29">
      <c r="C29" s="2" t="inlineStr">
        <is>
          <t>N enters numerator AND denominator: new bonds join the index as well as the cohort.</t>
        </is>
      </c>
    </row>
    <row r="30">
      <c r="C30" s="2" t="inlineStr">
        <is>
          <t>There is no judgement 'retention' parameter on the IG side. Each route supplies N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8" customWidth="1" min="4" max="4"/>
    <col width="12" customWidth="1" min="5" max="5"/>
    <col width="66" customWidth="1" min="6" max="6"/>
  </cols>
  <sheetData>
    <row r="2">
      <c r="B2" s="11" t="inlineStr">
        <is>
          <t>INPUTS</t>
        </is>
      </c>
    </row>
    <row r="3">
      <c r="B3" s="2" t="inlineStr">
        <is>
          <t>Edit GREEN only. Yellow = judgement; change only with a stated reason.</t>
        </is>
      </c>
    </row>
    <row r="4">
      <c r="A4" s="12" t="inlineStr"/>
      <c r="B4" s="12" t="inlineStr">
        <is>
          <t>Input</t>
        </is>
      </c>
      <c r="C4" s="12" t="inlineStr">
        <is>
          <t>Value</t>
        </is>
      </c>
      <c r="D4" s="12" t="inlineStr">
        <is>
          <t>Unit</t>
        </is>
      </c>
      <c r="E4" s="12" t="inlineStr">
        <is>
          <t>Status</t>
        </is>
      </c>
      <c r="F4" s="12" t="inlineStr">
        <is>
          <t>Source / note</t>
        </is>
      </c>
    </row>
    <row r="5">
      <c r="B5" s="7" t="inlineStr">
        <is>
          <t>INVESTMENT GRADE</t>
        </is>
      </c>
      <c r="C5" s="13" t="n"/>
      <c r="D5" s="13" t="n"/>
      <c r="E5" s="13" t="n"/>
      <c r="F5" s="13" t="n"/>
    </row>
    <row r="6">
      <c r="B6" t="inlineStr">
        <is>
          <t>D0  benchmark market value</t>
        </is>
      </c>
      <c r="C6" s="14" t="n">
        <v>9400</v>
      </c>
      <c r="D6" t="inlineStr">
        <is>
          <t>$bn</t>
        </is>
      </c>
      <c r="E6" t="inlineStr">
        <is>
          <t>CLIENT</t>
        </is>
      </c>
      <c r="F6" s="15" t="inlineStr">
        <is>
          <t>ICE BofA US Corporate (C0A0), dirty MV, Aug-2026. Reconciles to JPM implied $9.03tn within 4%.</t>
        </is>
      </c>
    </row>
    <row r="7">
      <c r="B7" t="inlineStr">
        <is>
          <t>D0  par market value (basis check)</t>
        </is>
      </c>
      <c r="C7" s="14" t="n"/>
      <c r="D7" t="inlineStr">
        <is>
          <t>$bn</t>
        </is>
      </c>
      <c r="E7" t="inlineStr">
        <is>
          <t>CLIENT</t>
        </is>
      </c>
      <c r="F7" s="15" t="inlineStr">
        <is>
          <t>BLANK - needed to confirm the JPM numerator and C0A0 denominator are on the same basis.</t>
        </is>
      </c>
    </row>
    <row r="8">
      <c r="B8" t="inlineStr">
        <is>
          <t>W0  narrow AI cohort weight</t>
        </is>
      </c>
      <c r="C8" s="16" t="n">
        <v>0.062</v>
      </c>
      <c r="D8" t="inlineStr">
        <is>
          <t>%</t>
        </is>
      </c>
      <c r="E8" t="inlineStr">
        <is>
          <t>SOURCED</t>
        </is>
      </c>
      <c r="F8" s="15" t="inlineStr">
        <is>
          <t>JPM AI Capex 2.0 p.32. Hyperscalers + data centres + semis. Was 3.9% at end-2024.</t>
        </is>
      </c>
    </row>
    <row r="9">
      <c r="B9" t="inlineStr">
        <is>
          <t>h   horizon</t>
        </is>
      </c>
      <c r="C9" s="17" t="n">
        <v>4.5</v>
      </c>
      <c r="D9" t="inlineStr">
        <is>
          <t>yrs</t>
        </is>
      </c>
      <c r="E9" t="inlineStr">
        <is>
          <t>SOURCED</t>
        </is>
      </c>
      <c r="F9" s="15" t="inlineStr">
        <is>
          <t>30 Jun 2026 to 31 Dec 2030.</t>
        </is>
      </c>
    </row>
    <row r="10">
      <c r="B10" t="inlineStr">
        <is>
          <t>g   non-AI growth - low</t>
        </is>
      </c>
      <c r="C10" s="18" t="n">
        <v>0.03</v>
      </c>
      <c r="D10" t="inlineStr">
        <is>
          <t>%</t>
        </is>
      </c>
      <c r="E10" t="inlineStr">
        <is>
          <t>CLIENT</t>
        </is>
      </c>
      <c r="F10" s="15" t="inlineStr">
        <is>
          <t>PLACEHOLDER. Replace with C0A0 trailing CAGR.</t>
        </is>
      </c>
    </row>
    <row r="11">
      <c r="B11" t="inlineStr">
        <is>
          <t>g   non-AI growth - base</t>
        </is>
      </c>
      <c r="C11" s="18" t="n">
        <v>0.04</v>
      </c>
      <c r="D11" t="inlineStr">
        <is>
          <t>%</t>
        </is>
      </c>
      <c r="E11" t="inlineStr">
        <is>
          <t>CLIENT</t>
        </is>
      </c>
      <c r="F11" s="15" t="inlineStr">
        <is>
          <t>PLACEHOLDER.</t>
        </is>
      </c>
    </row>
    <row r="12">
      <c r="B12" t="inlineStr">
        <is>
          <t>g   non-AI growth - high</t>
        </is>
      </c>
      <c r="C12" s="18" t="n">
        <v>0.05</v>
      </c>
      <c r="D12" t="inlineStr">
        <is>
          <t>%</t>
        </is>
      </c>
      <c r="E12" t="inlineStr">
        <is>
          <t>CLIENT</t>
        </is>
      </c>
      <c r="F12" s="15" t="inlineStr">
        <is>
          <t>PLACEHOLDER.</t>
        </is>
      </c>
    </row>
    <row r="13">
      <c r="B13" t="inlineStr">
        <is>
          <t>Gross 5yr HG AI borrowing</t>
        </is>
      </c>
      <c r="C13" s="17" t="n">
        <v>2100</v>
      </c>
      <c r="D13" t="inlineStr">
        <is>
          <t>$bn</t>
        </is>
      </c>
      <c r="E13" t="inlineStr">
        <is>
          <t>SOURCED</t>
        </is>
      </c>
      <c r="F13" s="15" t="inlineStr">
        <is>
          <t>JPM p.32. GLOBAL, USD and non-USD, all wrappers, inclusive of 2026 YTD.</t>
        </is>
      </c>
    </row>
    <row r="14">
      <c r="B14" t="inlineStr">
        <is>
          <t xml:space="preserve">  less: issued YTD 2026</t>
        </is>
      </c>
      <c r="C14" s="17" t="n">
        <v>165</v>
      </c>
      <c r="D14" t="inlineStr">
        <is>
          <t>$bn</t>
        </is>
      </c>
      <c r="E14" t="inlineStr">
        <is>
          <t>SOURCED</t>
        </is>
      </c>
      <c r="F14" s="15" t="inlineStr">
        <is>
          <t>JPM p.32, Figure 28 (USD HG market series).</t>
        </is>
      </c>
    </row>
    <row r="15">
      <c r="B15" t="inlineStr">
        <is>
          <t>Eligibility factor (Route C)</t>
        </is>
      </c>
      <c r="C15" s="19" t="n">
        <v>0.45</v>
      </c>
      <c r="D15" t="inlineStr">
        <is>
          <t>%</t>
        </is>
      </c>
      <c r="E15" t="inlineStr">
        <is>
          <t>JUDGEMENT</t>
        </is>
      </c>
      <c r="F15" s="15" t="inlineStr">
        <is>
          <t>Decomposed from JPM 2026 bridge: $150bn USD HS / $100bn non-USD / $170bn structures / $10bn muni. Band 35-55%.</t>
        </is>
      </c>
    </row>
    <row r="16">
      <c r="B16" t="inlineStr">
        <is>
          <t>Apollo public-IG absorption ceiling</t>
        </is>
      </c>
      <c r="C16" s="17" t="n">
        <v>1000</v>
      </c>
      <c r="D16" t="inlineStr">
        <is>
          <t>$bn</t>
        </is>
      </c>
      <c r="E16" t="inlineStr">
        <is>
          <t>SOURCED</t>
        </is>
      </c>
      <c r="F16" s="15" t="inlineStr">
        <is>
          <t>Apollo Midyear Credit Outlook p.15: 'may be able to absorb less than $1 trillion of that amount through 2030'.</t>
        </is>
      </c>
    </row>
    <row r="17">
      <c r="B17" t="inlineStr">
        <is>
          <t>MS capacity rescaled to C0A0 - 14.2%</t>
        </is>
      </c>
      <c r="C17" s="17" t="n">
        <v>898</v>
      </c>
      <c r="D17" t="inlineStr">
        <is>
          <t>$bn</t>
        </is>
      </c>
      <c r="E17" t="inlineStr">
        <is>
          <t>SOURCED</t>
        </is>
      </c>
      <c r="F17" s="15" t="inlineStr">
        <is>
          <t>MS Exhibit 11 ($679bn to 14.2%) reproduces on a $7.15tn implied index base with a 6.0% start; rescaled to C0A0.</t>
        </is>
      </c>
    </row>
    <row r="18">
      <c r="B18" t="inlineStr">
        <is>
          <t>MS capacity rescaled to C0A0 - 14.5%</t>
        </is>
      </c>
      <c r="C18" s="17" t="n">
        <v>935</v>
      </c>
      <c r="D18" t="inlineStr">
        <is>
          <t>$bn</t>
        </is>
      </c>
      <c r="E18" t="inlineStr">
        <is>
          <t>SOURCED</t>
        </is>
      </c>
      <c r="F18" s="15" t="inlineStr">
        <is>
          <t>MS Exhibit 11 ($711bn to 14.5%) on the same basis. Corroborates Apollo's sub-$1tn ceiling independently.</t>
        </is>
      </c>
    </row>
    <row r="19">
      <c r="B19" t="inlineStr">
        <is>
          <t>Slowdown case N (Route D)</t>
        </is>
      </c>
      <c r="C19" s="20" t="n">
        <v>500</v>
      </c>
      <c r="D19" t="inlineStr">
        <is>
          <t>$bn</t>
        </is>
      </c>
      <c r="E19" t="inlineStr">
        <is>
          <t>JUDGEMENT</t>
        </is>
      </c>
      <c r="F19" s="15" t="inlineStr">
        <is>
          <t>Hyperscaler borrowing peaks 2027 then decays. Apollo p.14; JPM concurs.</t>
        </is>
      </c>
    </row>
    <row r="20">
      <c r="B20" t="inlineStr">
        <is>
          <t>Run-rate case N (Route E)</t>
        </is>
      </c>
      <c r="C20" s="20" t="n">
        <v>1350</v>
      </c>
      <c r="D20" t="inlineStr">
        <is>
          <t>$bn</t>
        </is>
      </c>
      <c r="E20" t="inlineStr">
        <is>
          <t>JUDGEMENT</t>
        </is>
      </c>
      <c r="F20" s="15" t="inlineStr">
        <is>
          <t>~$300bn/yr x 4.5yr. See run-rate tension: AI was ~1/3 of 2026 net IG issuance of ~$1tn.</t>
        </is>
      </c>
    </row>
    <row r="21">
      <c r="B21" t="inlineStr">
        <is>
          <t>Apollo hyperscaler weight - now</t>
        </is>
      </c>
      <c r="C21" s="16" t="n">
        <v>0.048</v>
      </c>
      <c r="D21" t="inlineStr">
        <is>
          <t>%</t>
        </is>
      </c>
      <c r="E21" t="inlineStr">
        <is>
          <t>SOURCED</t>
        </is>
      </c>
      <c r="F21" s="15" t="inlineStr">
        <is>
          <t>Apollo Exhibit 27, Jul-2026. Six names including SpaceX.</t>
        </is>
      </c>
    </row>
    <row r="22">
      <c r="B22" t="inlineStr">
        <is>
          <t>Apollo hyperscaler weight - 2030E</t>
        </is>
      </c>
      <c r="C22" s="16" t="n">
        <v>0.08799999999999999</v>
      </c>
      <c r="D22" t="inlineStr">
        <is>
          <t>%</t>
        </is>
      </c>
      <c r="E22" t="inlineStr">
        <is>
          <t>SOURCED</t>
        </is>
      </c>
      <c r="F22" s="15" t="inlineStr">
        <is>
          <t>Apollo Exhibit 27, 2030 estimate.</t>
        </is>
      </c>
    </row>
    <row r="23">
      <c r="B23" s="3" t="inlineStr">
        <is>
          <t>S0  current AI stock = W0 x D0</t>
        </is>
      </c>
      <c r="C23" s="21">
        <f>C8*C6</f>
        <v/>
      </c>
      <c r="D23" t="inlineStr">
        <is>
          <t>$bn</t>
        </is>
      </c>
      <c r="E23" t="inlineStr">
        <is>
          <t>CALC</t>
        </is>
      </c>
    </row>
    <row r="24">
      <c r="B24" s="3" t="inlineStr">
        <is>
          <t>Remaining gross (Route C)</t>
        </is>
      </c>
      <c r="C24" s="21">
        <f>C13-C14</f>
        <v/>
      </c>
      <c r="D24" t="inlineStr">
        <is>
          <t>$bn</t>
        </is>
      </c>
      <c r="E24" t="inlineStr">
        <is>
          <t>CALC</t>
        </is>
      </c>
    </row>
    <row r="26">
      <c r="B26" s="7" t="inlineStr">
        <is>
          <t>HIGH YIELD</t>
        </is>
      </c>
      <c r="C26" s="13" t="n"/>
      <c r="D26" s="13" t="n"/>
      <c r="E26" s="13" t="n"/>
      <c r="F26" s="13" t="n"/>
    </row>
    <row r="27">
      <c r="B27" t="inlineStr">
        <is>
          <t>D0  benchmark market value</t>
        </is>
      </c>
      <c r="C27" s="14" t="n">
        <v>1447</v>
      </c>
      <c r="D27" t="inlineStr">
        <is>
          <t>$bn</t>
        </is>
      </c>
      <c r="E27" t="inlineStr">
        <is>
          <t>CLIENT</t>
        </is>
      </c>
      <c r="F27" s="15" t="inlineStr">
        <is>
          <t>BACK-SOLVE ($39.8bn / 2.75%). REPLACE WITH H0A0 - this is not index data.</t>
        </is>
      </c>
    </row>
    <row r="28">
      <c r="B28" t="inlineStr">
        <is>
          <t>W0  HPC weight</t>
        </is>
      </c>
      <c r="C28" s="16" t="n">
        <v>0.0275</v>
      </c>
      <c r="D28" t="inlineStr">
        <is>
          <t>%</t>
        </is>
      </c>
      <c r="E28" t="inlineStr">
        <is>
          <t>SOURCED</t>
        </is>
      </c>
      <c r="F28" s="15" t="inlineStr">
        <is>
          <t>JPM p.36. $39.8bn across 12 issuers. Was 1.07% at end-2025.</t>
        </is>
      </c>
    </row>
    <row r="29">
      <c r="B29" t="inlineStr">
        <is>
          <t>g   non-AI growth</t>
        </is>
      </c>
      <c r="C29" s="18" t="n">
        <v>0.03</v>
      </c>
      <c r="D29" t="inlineStr">
        <is>
          <t>%</t>
        </is>
      </c>
      <c r="E29" t="inlineStr">
        <is>
          <t>CLIENT</t>
        </is>
      </c>
      <c r="F29" s="15" t="inlineStr">
        <is>
          <t>PLACEHOLDER. Replace with H0A0 trailing CAGR.</t>
        </is>
      </c>
    </row>
    <row r="30">
      <c r="B30" t="inlineStr">
        <is>
          <t>Cumulative HPC issuance 2026-30</t>
        </is>
      </c>
      <c r="C30" s="17" t="n">
        <v>350</v>
      </c>
      <c r="D30" t="inlineStr">
        <is>
          <t>$bn</t>
        </is>
      </c>
      <c r="E30" t="inlineStr">
        <is>
          <t>SOURCED</t>
        </is>
      </c>
      <c r="F30" s="15" t="inlineStr">
        <is>
          <t>JPM p.36. Bonds AND loans, peak 2027.</t>
        </is>
      </c>
    </row>
    <row r="31">
      <c r="B31" t="inlineStr">
        <is>
          <t xml:space="preserve">  less: already issued</t>
        </is>
      </c>
      <c r="C31" s="17" t="n">
        <v>34.2</v>
      </c>
      <c r="D31" t="inlineStr">
        <is>
          <t>$bn</t>
        </is>
      </c>
      <c r="E31" t="inlineStr">
        <is>
          <t>SOURCED</t>
        </is>
      </c>
      <c r="F31" s="15" t="inlineStr">
        <is>
          <t>$31.1bn HY bonds YTD plus the $3.1bn CoreWeave loan.</t>
        </is>
      </c>
    </row>
    <row r="32">
      <c r="B32" t="inlineStr">
        <is>
          <t>Bond share of remaining</t>
        </is>
      </c>
      <c r="C32" s="19" t="n">
        <v>0.7</v>
      </c>
      <c r="D32" t="inlineStr">
        <is>
          <t>%</t>
        </is>
      </c>
      <c r="E32" t="inlineStr">
        <is>
          <t>JUDGEMENT</t>
        </is>
      </c>
      <c r="F32" s="15" t="inlineStr">
        <is>
          <t>Below JPM's 2026 mix of 81% ($65bn/$80bn): the same note expects loans to fund an increasing share.</t>
        </is>
      </c>
    </row>
    <row r="33">
      <c r="B33" t="inlineStr">
        <is>
          <t>Retention - heavy graduation</t>
        </is>
      </c>
      <c r="C33" s="19" t="n">
        <v>0.25</v>
      </c>
      <c r="D33" t="inlineStr">
        <is>
          <t>%</t>
        </is>
      </c>
      <c r="E33" t="inlineStr">
        <is>
          <t>JUDGEMENT</t>
        </is>
      </c>
      <c r="F33" s="15" t="inlineStr">
        <is>
          <t>Most 2026-27 vintages upgrade to IG or refinance into ABS.</t>
        </is>
      </c>
    </row>
    <row r="34">
      <c r="B34" t="inlineStr">
        <is>
          <t>Retention - moderate (base)</t>
        </is>
      </c>
      <c r="C34" s="19" t="n">
        <v>0.5</v>
      </c>
      <c r="D34" t="inlineStr">
        <is>
          <t>%</t>
        </is>
      </c>
      <c r="E34" t="inlineStr">
        <is>
          <t>JUDGEMENT</t>
        </is>
      </c>
      <c r="F34" s="15" t="inlineStr">
        <is>
          <t>Roughly half migrate out of high yield.</t>
        </is>
      </c>
    </row>
    <row r="35">
      <c r="B35" t="inlineStr">
        <is>
          <t>Retention - low graduation</t>
        </is>
      </c>
      <c r="C35" s="19" t="n">
        <v>0.8</v>
      </c>
      <c r="D35" t="inlineStr">
        <is>
          <t>%</t>
        </is>
      </c>
      <c r="E35" t="inlineStr">
        <is>
          <t>JUDGEMENT</t>
        </is>
      </c>
      <c r="F35" s="15" t="inlineStr">
        <is>
          <t>Matches the OBSERVED 2026 conversion rate. See back-test below.</t>
        </is>
      </c>
    </row>
    <row r="36">
      <c r="B36" t="inlineStr">
        <is>
          <t>MS capacity to 15% threshold</t>
        </is>
      </c>
      <c r="C36" s="17" t="n">
        <v>170</v>
      </c>
      <c r="D36" t="inlineStr">
        <is>
          <t>$bn</t>
        </is>
      </c>
      <c r="E36" t="inlineStr">
        <is>
          <t>SOURCED</t>
        </is>
      </c>
      <c r="F36" s="15" t="inlineStr">
        <is>
          <t>Morgan Stanley, A Break from the Heat, p.10.</t>
        </is>
      </c>
    </row>
    <row r="37">
      <c r="B37" t="inlineStr">
        <is>
          <t>JPM end-2026 waypoint</t>
        </is>
      </c>
      <c r="C37" s="16" t="n">
        <v>0.045</v>
      </c>
      <c r="D37" t="inlineStr">
        <is>
          <t>%</t>
        </is>
      </c>
      <c r="E37" t="inlineStr">
        <is>
          <t>SOURCED</t>
        </is>
      </c>
      <c r="F37" s="15" t="inlineStr">
        <is>
          <t>JPM p.40: 'would place the HPC subsector at about 4.5% of the High-Yield Bond index by year-end 2026'.</t>
        </is>
      </c>
    </row>
    <row r="38">
      <c r="B38" t="inlineStr">
        <is>
          <t>2H26 gross HY HPC issuance</t>
        </is>
      </c>
      <c r="C38" s="17" t="n">
        <v>33.9</v>
      </c>
      <c r="D38" t="inlineStr">
        <is>
          <t>$bn</t>
        </is>
      </c>
      <c r="E38" t="inlineStr">
        <is>
          <t>SOURCED</t>
        </is>
      </c>
      <c r="F38" s="15" t="inlineStr">
        <is>
          <t>JPM $65bn FY26 forecast less $31.1bn issued YTD.</t>
        </is>
      </c>
    </row>
    <row r="39">
      <c r="B39" t="inlineStr">
        <is>
          <t>HPC weight at end-2025</t>
        </is>
      </c>
      <c r="C39" s="16" t="n">
        <v>0.0107</v>
      </c>
      <c r="D39" t="inlineStr">
        <is>
          <t>%</t>
        </is>
      </c>
      <c r="E39" t="inlineStr">
        <is>
          <t>SOURCED</t>
        </is>
      </c>
      <c r="F39" s="15" t="inlineStr">
        <is>
          <t>JPM p.36.</t>
        </is>
      </c>
    </row>
    <row r="40">
      <c r="B40" t="inlineStr">
        <is>
          <t>HY index growth 2026 ($bn)</t>
        </is>
      </c>
      <c r="C40" s="17" t="n">
        <v>48</v>
      </c>
      <c r="D40" t="inlineStr">
        <is>
          <t>$bn</t>
        </is>
      </c>
      <c r="E40" t="inlineStr">
        <is>
          <t>SOURCED</t>
        </is>
      </c>
      <c r="F40" s="15" t="inlineStr">
        <is>
          <t>JPM p.36: market 'expanding again in 2026 (+$48bn)'.</t>
        </is>
      </c>
    </row>
    <row r="41">
      <c r="B41" t="inlineStr">
        <is>
          <t>HPC gross HY issuance YTD ($bn)</t>
        </is>
      </c>
      <c r="C41" s="17" t="n">
        <v>31.1</v>
      </c>
      <c r="D41" t="inlineStr">
        <is>
          <t>$bn</t>
        </is>
      </c>
      <c r="E41" t="inlineStr">
        <is>
          <t>SOURCED</t>
        </is>
      </c>
      <c r="F41" s="15" t="inlineStr">
        <is>
          <t>JPM p.36. 41% of $76.9bn non-refi HY issuance.</t>
        </is>
      </c>
    </row>
    <row r="42">
      <c r="B42" s="3" t="inlineStr">
        <is>
          <t>S0  current HPC stock = W0 x D0</t>
        </is>
      </c>
      <c r="C42" s="21">
        <f>C28*C27</f>
        <v/>
      </c>
      <c r="D42" t="inlineStr">
        <is>
          <t>$bn</t>
        </is>
      </c>
      <c r="E42" t="inlineStr">
        <is>
          <t>CALC</t>
        </is>
      </c>
    </row>
    <row r="43">
      <c r="B43" s="3" t="inlineStr">
        <is>
          <t>Remaining issuance</t>
        </is>
      </c>
      <c r="C43" s="21">
        <f>C30-C31</f>
        <v/>
      </c>
      <c r="D43" t="inlineStr">
        <is>
          <t>$bn</t>
        </is>
      </c>
      <c r="E43" t="inlineStr">
        <is>
          <t>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3" customWidth="1" min="3" max="3"/>
    <col width="11" customWidth="1" min="4" max="4"/>
    <col width="11" customWidth="1" min="5" max="5"/>
    <col width="11" customWidth="1" min="6" max="6"/>
    <col width="58" customWidth="1" min="7" max="7"/>
  </cols>
  <sheetData>
    <row r="2">
      <c r="B2" s="11" t="inlineStr">
        <is>
          <t>INVESTMENT GRADE - narrow AI cohort at end-2030</t>
        </is>
      </c>
    </row>
    <row r="3">
      <c r="B3" s="2" t="inlineStr">
        <is>
          <t>Live. Change Inputs and every figure below moves.</t>
        </is>
      </c>
    </row>
    <row r="5">
      <c r="A5" s="12" t="inlineStr"/>
      <c r="B5" s="12" t="inlineStr">
        <is>
          <t>Route / scenario</t>
        </is>
      </c>
      <c r="C5" s="12" t="inlineStr">
        <is>
          <t>N  ($bn)</t>
        </is>
      </c>
      <c r="D5" s="12" t="inlineStr">
        <is>
          <t>g low</t>
        </is>
      </c>
      <c r="E5" s="12" t="inlineStr">
        <is>
          <t>g base</t>
        </is>
      </c>
      <c r="F5" s="12" t="inlineStr">
        <is>
          <t>g high</t>
        </is>
      </c>
      <c r="G5" s="12" t="inlineStr">
        <is>
          <t>Basis</t>
        </is>
      </c>
    </row>
    <row r="6">
      <c r="B6" s="3" t="inlineStr">
        <is>
          <t>D - Demand slowdown (LOW)</t>
        </is>
      </c>
      <c r="C6" s="22">
        <f>Inputs!C19</f>
        <v/>
      </c>
      <c r="D6" s="23">
        <f>(Inputs!C23+$C$6)/((Inputs!C6-Inputs!C23)*(1+Inputs!C10)^Inputs!C9+Inputs!C23+$C$6)</f>
        <v/>
      </c>
      <c r="E6" s="23">
        <f>(Inputs!C23+$C$6)/((Inputs!C6-Inputs!C23)*(1+Inputs!C11)^Inputs!C9+Inputs!C23+$C$6)</f>
        <v/>
      </c>
      <c r="F6" s="23">
        <f>(Inputs!C23+$C$6)/((Inputs!C6-Inputs!C23)*(1+Inputs!C12)^Inputs!C9+Inputs!C23+$C$6)</f>
        <v/>
      </c>
      <c r="G6" s="15" t="inlineStr">
        <is>
          <t>Hyperscaler borrowing peaks 2027 then decays. Apollo p.14.</t>
        </is>
      </c>
    </row>
    <row r="7">
      <c r="B7" s="3" t="inlineStr">
        <is>
          <t>B - Capex bottom-up (BASE)</t>
        </is>
      </c>
      <c r="C7" s="2" t="inlineStr">
        <is>
          <t>see below</t>
        </is>
      </c>
      <c r="D7" s="23">
        <f>AVERAGE($C$21,$D$21)</f>
        <v/>
      </c>
      <c r="E7" s="23">
        <f>AVERAGE($C$21,$D$21)</f>
        <v/>
      </c>
      <c r="F7" s="23">
        <f>AVERAGE($C$21,$D$21)</f>
        <v/>
      </c>
      <c r="G7" s="15" t="inlineStr">
        <is>
          <t>Apollo hyperscaler path 4.8% -&gt; 8.8%, extended to data centres and semis. Built below.</t>
        </is>
      </c>
    </row>
    <row r="8">
      <c r="B8" s="3" t="inlineStr">
        <is>
          <t>C - Gross x eligibility</t>
        </is>
      </c>
      <c r="C8" s="22">
        <f>Inputs!C24*Inputs!C15</f>
        <v/>
      </c>
      <c r="D8" s="23">
        <f>(Inputs!C23+$C$8)/((Inputs!C6-Inputs!C23)*(1+Inputs!C10)^Inputs!C9+Inputs!C23+$C$8)</f>
        <v/>
      </c>
      <c r="E8" s="23">
        <f>(Inputs!C23+$C$8)/((Inputs!C6-Inputs!C23)*(1+Inputs!C11)^Inputs!C9+Inputs!C23+$C$8)</f>
        <v/>
      </c>
      <c r="F8" s="23">
        <f>(Inputs!C23+$C$8)/((Inputs!C6-Inputs!C23)*(1+Inputs!C12)^Inputs!C9+Inputs!C23+$C$8)</f>
        <v/>
      </c>
      <c r="G8" s="15" t="inlineStr">
        <is>
          <t>JPM $2.1tn less $165bn issued, times a 45% decomposed eligibility factor.</t>
        </is>
      </c>
    </row>
    <row r="9">
      <c r="B9" s="3" t="inlineStr">
        <is>
          <t>A1 - Capacity, MS rescaled low</t>
        </is>
      </c>
      <c r="C9" s="22">
        <f>Inputs!C17</f>
        <v/>
      </c>
      <c r="D9" s="23">
        <f>(Inputs!C23+$C$9)/((Inputs!C6-Inputs!C23)*(1+Inputs!C10)^Inputs!C9+Inputs!C23+$C$9)</f>
        <v/>
      </c>
      <c r="E9" s="23">
        <f>(Inputs!C23+$C$9)/((Inputs!C6-Inputs!C23)*(1+Inputs!C11)^Inputs!C9+Inputs!C23+$C$9)</f>
        <v/>
      </c>
      <c r="F9" s="23">
        <f>(Inputs!C23+$C$9)/((Inputs!C6-Inputs!C23)*(1+Inputs!C12)^Inputs!C9+Inputs!C23+$C$9)</f>
        <v/>
      </c>
      <c r="G9" s="15" t="inlineStr">
        <is>
          <t>MS 14.2% avg non-financial max sector share, rescaled from its $7.15tn implied base to C0A0.</t>
        </is>
      </c>
    </row>
    <row r="10">
      <c r="B10" s="3" t="inlineStr">
        <is>
          <t>A2 - Capacity, MS rescaled high</t>
        </is>
      </c>
      <c r="C10" s="22">
        <f>Inputs!C18</f>
        <v/>
      </c>
      <c r="D10" s="23">
        <f>(Inputs!C23+$C$10)/((Inputs!C6-Inputs!C23)*(1+Inputs!C10)^Inputs!C9+Inputs!C23+$C$10)</f>
        <v/>
      </c>
      <c r="E10" s="23">
        <f>(Inputs!C23+$C$10)/((Inputs!C6-Inputs!C23)*(1+Inputs!C11)^Inputs!C9+Inputs!C23+$C$10)</f>
        <v/>
      </c>
      <c r="F10" s="23">
        <f>(Inputs!C23+$C$10)/((Inputs!C6-Inputs!C23)*(1+Inputs!C12)^Inputs!C9+Inputs!C23+$C$10)</f>
        <v/>
      </c>
      <c r="G10" s="15" t="inlineStr">
        <is>
          <t>MS 14.5% avg all-sector max share, same basis.</t>
        </is>
      </c>
    </row>
    <row r="11">
      <c r="B11" s="3" t="inlineStr">
        <is>
          <t>A3 - Capacity ceiling (HIGH)</t>
        </is>
      </c>
      <c r="C11" s="22">
        <f>Inputs!C16</f>
        <v/>
      </c>
      <c r="D11" s="23">
        <f>(Inputs!C23+$C$11)/((Inputs!C6-Inputs!C23)*(1+Inputs!C10)^Inputs!C9+Inputs!C23+$C$11)</f>
        <v/>
      </c>
      <c r="E11" s="23">
        <f>(Inputs!C23+$C$11)/((Inputs!C6-Inputs!C23)*(1+Inputs!C11)^Inputs!C9+Inputs!C23+$C$11)</f>
        <v/>
      </c>
      <c r="F11" s="23">
        <f>(Inputs!C23+$C$11)/((Inputs!C6-Inputs!C23)*(1+Inputs!C12)^Inputs!C9+Inputs!C23+$C$11)</f>
        <v/>
      </c>
      <c r="G11" s="15" t="inlineStr">
        <is>
          <t>Apollo: public IG can absorb 'less than $1 trillion' through 2030. Convergence with A1/A2 is independent.</t>
        </is>
      </c>
    </row>
    <row r="12">
      <c r="B12" s="3" t="inlineStr">
        <is>
          <t>E - Run-rate persists (STRESS)</t>
        </is>
      </c>
      <c r="C12" s="22">
        <f>Inputs!C20</f>
        <v/>
      </c>
      <c r="D12" s="23">
        <f>(Inputs!C23+$C$12)/((Inputs!C6-Inputs!C23)*(1+Inputs!C10)^Inputs!C9+Inputs!C23+$C$12)</f>
        <v/>
      </c>
      <c r="E12" s="23">
        <f>(Inputs!C23+$C$12)/((Inputs!C6-Inputs!C23)*(1+Inputs!C11)^Inputs!C9+Inputs!C23+$C$12)</f>
        <v/>
      </c>
      <c r="F12" s="23">
        <f>(Inputs!C23+$C$12)/((Inputs!C6-Inputs!C23)*(1+Inputs!C12)^Inputs!C9+Inputs!C23+$C$12)</f>
        <v/>
      </c>
      <c r="G12" s="15" t="inlineStr">
        <is>
          <t>2026 issuance pace simply continues. See run-rate tension in section 3.3.</t>
        </is>
      </c>
    </row>
    <row r="14">
      <c r="B14" s="3" t="inlineStr">
        <is>
          <t>ROUTE B - capex bottom-up, two constructions</t>
        </is>
      </c>
    </row>
    <row r="15">
      <c r="B15" t="inlineStr">
        <is>
          <t>B1  weight ratio  W0 x (8.8% / 4.8%)</t>
        </is>
      </c>
      <c r="C15" s="23">
        <f>Inputs!C8*Inputs!C22/Inputs!C21</f>
        <v/>
      </c>
      <c r="G15" s="15" t="inlineStr">
        <is>
          <t>Applies Apollo's hyperscaler multiple to the narrow cohort. Assumes DC+semis scale identically.</t>
        </is>
      </c>
    </row>
    <row r="16">
      <c r="B16" t="inlineStr">
        <is>
          <t>B2  hyperscaler stock today</t>
        </is>
      </c>
      <c r="C16" s="22">
        <f>Inputs!C21*Inputs!C6</f>
        <v/>
      </c>
    </row>
    <row r="17">
      <c r="B17" t="inlineStr">
        <is>
          <t xml:space="preserve">    non-hyperscaler index grown at g base</t>
        </is>
      </c>
      <c r="C17" s="22">
        <f>(Inputs!C6-C16)*(1+Inputs!C11)^Inputs!C9</f>
        <v/>
      </c>
    </row>
    <row r="18">
      <c r="B18" t="inlineStr">
        <is>
          <t xml:space="preserve">    implied net new hyperscaler debt to reach 8.8%</t>
        </is>
      </c>
      <c r="C18" s="22">
        <f>(Inputs!C22*(C17+C16)-C16)/(1-Inputs!C22)</f>
        <v/>
      </c>
    </row>
    <row r="19">
      <c r="B19" t="inlineStr">
        <is>
          <t xml:space="preserve">    DC + semis today, scaled by the same multiple</t>
        </is>
      </c>
      <c r="C19" s="22">
        <f>(Inputs!C23-C16)*Inputs!C22/Inputs!C21</f>
        <v/>
      </c>
    </row>
    <row r="20">
      <c r="B20" s="3" t="inlineStr">
        <is>
          <t xml:space="preserve">    narrow cohort 2030 (B2)</t>
        </is>
      </c>
      <c r="C20" s="23">
        <f>(C16+C18+C19)/(C17+C16+C18+C19)</f>
        <v/>
      </c>
    </row>
    <row r="21">
      <c r="B21" s="3" t="inlineStr">
        <is>
          <t>ROUTE B RANGE  (low / high)</t>
        </is>
      </c>
      <c r="C21" s="24">
        <f>MIN(C15,C20)</f>
        <v/>
      </c>
      <c r="D21" s="24">
        <f>MAX(C15,C20)</f>
        <v/>
      </c>
      <c r="G21" s="15" t="inlineStr">
        <is>
          <t>Reported in the note as 'approximately 11%'.</t>
        </is>
      </c>
    </row>
    <row r="23">
      <c r="B23" s="25" t="inlineStr">
        <is>
          <t>HEADLINE - IG</t>
        </is>
      </c>
    </row>
    <row r="24">
      <c r="B24" s="3" t="inlineStr">
        <is>
          <t>Current (W0)</t>
        </is>
      </c>
      <c r="C24" s="24">
        <f>Inputs!C8</f>
        <v/>
      </c>
    </row>
    <row r="25">
      <c r="B25" s="3" t="inlineStr">
        <is>
          <t>Low   (Route D, g base)</t>
        </is>
      </c>
      <c r="C25" s="24">
        <f>E6</f>
        <v/>
      </c>
    </row>
    <row r="26">
      <c r="B26" s="3" t="inlineStr">
        <is>
          <t>Base  (Route B)</t>
        </is>
      </c>
      <c r="C26" s="24">
        <f>AVERAGE(C21,D21)</f>
        <v/>
      </c>
    </row>
    <row r="27">
      <c r="B27" s="3" t="inlineStr">
        <is>
          <t>High  (Route A, g base)</t>
        </is>
      </c>
      <c r="C27" s="24">
        <f>E11</f>
        <v/>
      </c>
    </row>
    <row r="28">
      <c r="B28" s="3" t="inlineStr">
        <is>
          <t>Stress (Route E, g base)</t>
        </is>
      </c>
      <c r="C28" s="24">
        <f>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3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3" customWidth="1" min="4" max="4"/>
    <col width="14" customWidth="1" min="5" max="5"/>
    <col width="60" customWidth="1" min="6" max="6"/>
  </cols>
  <sheetData>
    <row r="2">
      <c r="B2" s="11" t="inlineStr">
        <is>
          <t>HIGH YIELD - HPC cohort at end-2030</t>
        </is>
      </c>
    </row>
    <row r="3">
      <c r="B3" s="2" t="inlineStr">
        <is>
          <t>Graduation to IG / ABS is the dominant unknown. No source quantifies it.</t>
        </is>
      </c>
    </row>
    <row r="5">
      <c r="A5" s="12" t="inlineStr"/>
      <c r="B5" s="12" t="inlineStr">
        <is>
          <t>Scenario</t>
        </is>
      </c>
      <c r="C5" s="12" t="inlineStr">
        <is>
          <t>Retention</t>
        </is>
      </c>
      <c r="D5" s="12" t="inlineStr">
        <is>
          <t>N  ($bn)</t>
        </is>
      </c>
      <c r="E5" s="12" t="inlineStr">
        <is>
          <t>2030 weight</t>
        </is>
      </c>
      <c r="F5" s="12" t="inlineStr">
        <is>
          <t>Basis</t>
        </is>
      </c>
    </row>
    <row r="6">
      <c r="B6" s="3" t="inlineStr">
        <is>
          <t>Heavy graduation (LOW)</t>
        </is>
      </c>
      <c r="C6" s="26">
        <f>Inputs!C33</f>
        <v/>
      </c>
      <c r="D6" s="27">
        <f>Inputs!C43*Inputs!C32*Inputs!C33</f>
        <v/>
      </c>
      <c r="E6" s="23">
        <f>(Inputs!C42+D6)/((Inputs!C27-Inputs!C42)*(1+Inputs!C29)^Inputs!C9+Inputs!C42+D6)</f>
        <v/>
      </c>
      <c r="F6" s="15" t="inlineStr">
        <is>
          <t>Most 2026-27 vintages upgrade or refinance into ABS / IG.</t>
        </is>
      </c>
    </row>
    <row r="7">
      <c r="B7" s="3" t="inlineStr">
        <is>
          <t>Moderate (BASE)</t>
        </is>
      </c>
      <c r="C7" s="26">
        <f>Inputs!C34</f>
        <v/>
      </c>
      <c r="D7" s="27">
        <f>Inputs!C43*Inputs!C32*Inputs!C34</f>
        <v/>
      </c>
      <c r="E7" s="23">
        <f>(Inputs!C42+D7)/((Inputs!C27-Inputs!C42)*(1+Inputs!C29)^Inputs!C9+Inputs!C42+D7)</f>
        <v/>
      </c>
      <c r="F7" s="15" t="inlineStr">
        <is>
          <t>Roughly half migrate out of high yield.</t>
        </is>
      </c>
    </row>
    <row r="8">
      <c r="B8" s="3" t="inlineStr">
        <is>
          <t>Low graduation (HIGH)</t>
        </is>
      </c>
      <c r="C8" s="26">
        <f>Inputs!C35</f>
        <v/>
      </c>
      <c r="D8" s="27">
        <f>Inputs!C43*Inputs!C32*Inputs!C35</f>
        <v/>
      </c>
      <c r="E8" s="23">
        <f>(Inputs!C42+D8)/((Inputs!C27-Inputs!C42)*(1+Inputs!C29)^Inputs!C9+Inputs!C42+D8)</f>
        <v/>
      </c>
      <c r="F8" s="15" t="inlineStr">
        <is>
          <t>Migration matches the observed 2026 conversion rate.</t>
        </is>
      </c>
    </row>
    <row r="10">
      <c r="B10" s="3" t="inlineStr">
        <is>
          <t>CROSS-CHECK - MS capacity to 15%</t>
        </is>
      </c>
      <c r="D10" s="22">
        <f>Inputs!C36</f>
        <v/>
      </c>
      <c r="E10" s="23">
        <f>(Inputs!C42+D10)/((Inputs!C27-Inputs!C42)*(1+Inputs!C29)^Inputs!C9+Inputs!C42+D10)</f>
        <v/>
      </c>
      <c r="F10" s="15" t="inlineStr">
        <is>
          <t>MS sized $170bn to reach ~15% on their own base. Not binding on any case above.</t>
        </is>
      </c>
    </row>
    <row r="12">
      <c r="B12" s="25" t="inlineStr">
        <is>
          <t>BACK-TEST vs JPM's published end-2026 waypoint</t>
        </is>
      </c>
    </row>
    <row r="13">
      <c r="B13" s="2" t="inlineStr">
        <is>
          <t>Any credible retention must reproduce 4.5% at YE26. The prior 40-60% assumption did not.</t>
        </is>
      </c>
    </row>
    <row r="14">
      <c r="A14" s="12" t="inlineStr"/>
      <c r="B14" s="12" t="inlineStr">
        <is>
          <t>Retention on 2H26 gross</t>
        </is>
      </c>
      <c r="C14" s="12" t="inlineStr"/>
      <c r="D14" s="12" t="inlineStr">
        <is>
          <t>N ($bn)</t>
        </is>
      </c>
      <c r="E14" s="12" t="inlineStr">
        <is>
          <t>Implied YE26 weight</t>
        </is>
      </c>
      <c r="F14" s="12" t="inlineStr"/>
    </row>
    <row r="15">
      <c r="B15" s="26" t="n">
        <v>0.25</v>
      </c>
      <c r="D15" s="27">
        <f>Inputs!C38*0.25</f>
        <v/>
      </c>
      <c r="E15" s="23">
        <f>(Inputs!C42+D15)/((Inputs!C27-Inputs!C42)*(1+Inputs!C29)^0.5+Inputs!C42+D15)</f>
        <v/>
      </c>
    </row>
    <row r="16">
      <c r="B16" s="26" t="n">
        <v>0.5</v>
      </c>
      <c r="D16" s="27">
        <f>Inputs!C38*0.5</f>
        <v/>
      </c>
      <c r="E16" s="23">
        <f>(Inputs!C42+D16)/((Inputs!C27-Inputs!C42)*(1+Inputs!C29)^0.5+Inputs!C42+D16)</f>
        <v/>
      </c>
    </row>
    <row r="17">
      <c r="B17" s="26" t="n">
        <v>0.75</v>
      </c>
      <c r="D17" s="27">
        <f>Inputs!C38*0.75</f>
        <v/>
      </c>
      <c r="E17" s="23">
        <f>(Inputs!C42+D17)/((Inputs!C27-Inputs!C42)*(1+Inputs!C29)^0.5+Inputs!C42+D17)</f>
        <v/>
      </c>
    </row>
    <row r="18">
      <c r="B18" s="26" t="n">
        <v>0.8</v>
      </c>
      <c r="D18" s="27">
        <f>Inputs!C38*0.8</f>
        <v/>
      </c>
      <c r="E18" s="23">
        <f>(Inputs!C42+D18)/((Inputs!C27-Inputs!C42)*(1+Inputs!C29)^0.5+Inputs!C42+D18)</f>
        <v/>
      </c>
    </row>
    <row r="19">
      <c r="B19" s="26" t="n">
        <v>1</v>
      </c>
      <c r="D19" s="27">
        <f>Inputs!C38*1.0</f>
        <v/>
      </c>
      <c r="E19" s="23">
        <f>(Inputs!C42+D19)/((Inputs!C27-Inputs!C42)*(1+Inputs!C29)^0.5+Inputs!C42+D19)</f>
        <v/>
      </c>
    </row>
    <row r="20">
      <c r="B20" s="3" t="inlineStr">
        <is>
          <t>JPM PUBLISHED WAYPOINT</t>
        </is>
      </c>
      <c r="E20" s="28">
        <f>Inputs!C37</f>
        <v/>
      </c>
      <c r="F20" s="15" t="inlineStr">
        <is>
          <t>Retention of 75-80% reproduces this.</t>
        </is>
      </c>
    </row>
    <row r="22">
      <c r="B22" s="25" t="inlineStr">
        <is>
          <t>OBSERVED 2026 CONVERSION - independent check</t>
        </is>
      </c>
    </row>
    <row r="23">
      <c r="B23" t="inlineStr">
        <is>
          <t>HPC stock at end-2025 = W(YE25) x (D0 - 2026 growth)</t>
        </is>
      </c>
      <c r="C23" s="27">
        <f>Inputs!C39*(Inputs!C27-Inputs!C40)</f>
        <v/>
      </c>
    </row>
    <row r="24">
      <c r="B24" t="inlineStr">
        <is>
          <t>HPC stock mid-Jun-2026</t>
        </is>
      </c>
      <c r="C24" s="27">
        <f>Inputs!C42</f>
        <v/>
      </c>
    </row>
    <row r="25">
      <c r="B25" t="inlineStr">
        <is>
          <t>Stock change ($bn)</t>
        </is>
      </c>
      <c r="C25" s="27">
        <f>Inputs!C42-C23</f>
        <v/>
      </c>
    </row>
    <row r="26">
      <c r="B26" t="inlineStr">
        <is>
          <t>Gross HPC HY issuance YTD ($bn)</t>
        </is>
      </c>
      <c r="C26" s="27">
        <f>Inputs!C41</f>
        <v/>
      </c>
    </row>
    <row r="27">
      <c r="B27" s="3" t="inlineStr">
        <is>
          <t>IMPLIED CONVERSION RATE</t>
        </is>
      </c>
      <c r="C27" s="29">
        <f>C25/Inputs!C41</f>
        <v/>
      </c>
      <c r="F27" s="15" t="inlineStr">
        <is>
          <t>Caveat: includes issuers newly classified into HPC, so this is an upper read.</t>
        </is>
      </c>
    </row>
    <row r="29">
      <c r="B29" s="25" t="inlineStr">
        <is>
          <t>HEADLINE - HY</t>
        </is>
      </c>
    </row>
    <row r="30">
      <c r="B30" s="3" t="inlineStr">
        <is>
          <t>Current (W0)</t>
        </is>
      </c>
      <c r="C30" s="24">
        <f>Inputs!C28</f>
        <v/>
      </c>
    </row>
    <row r="31">
      <c r="B31" s="3" t="inlineStr">
        <is>
          <t>Low   (heavy graduation)</t>
        </is>
      </c>
      <c r="C31" s="24">
        <f>E6</f>
        <v/>
      </c>
    </row>
    <row r="32">
      <c r="B32" s="3" t="inlineStr">
        <is>
          <t>Base  (moderate)</t>
        </is>
      </c>
      <c r="C32" s="24">
        <f>E7</f>
        <v/>
      </c>
    </row>
    <row r="33">
      <c r="B33" s="3" t="inlineStr">
        <is>
          <t>High  (low graduation)</t>
        </is>
      </c>
      <c r="C33" s="24">
        <f>E8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6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6" customWidth="1" min="4" max="4"/>
    <col width="58" customWidth="1" min="5" max="5"/>
  </cols>
  <sheetData>
    <row r="2">
      <c r="B2" s="11" t="inlineStr">
        <is>
          <t>SOURCES - every non-client number in this model</t>
        </is>
      </c>
    </row>
    <row r="4">
      <c r="A4" s="12" t="inlineStr"/>
      <c r="B4" s="12" t="inlineStr">
        <is>
          <t>Figure</t>
        </is>
      </c>
      <c r="C4" s="12" t="inlineStr">
        <is>
          <t>Value</t>
        </is>
      </c>
      <c r="D4" s="12" t="inlineStr">
        <is>
          <t>Document / page</t>
        </is>
      </c>
      <c r="E4" s="12" t="inlineStr">
        <is>
          <t>Verification status</t>
        </is>
      </c>
    </row>
    <row r="5">
      <c r="B5" t="inlineStr">
        <is>
          <t>Narrow HG AI cohort weight</t>
        </is>
      </c>
      <c r="C5" t="inlineStr">
        <is>
          <t>6.2%</t>
        </is>
      </c>
      <c r="D5" s="15" t="inlineStr">
        <is>
          <t>JPM AI Capex 2.0, 17 Jun 2026, p.32</t>
        </is>
      </c>
      <c r="E5" s="15" t="inlineStr">
        <is>
          <t>VERIFIED against PDF text in research/</t>
        </is>
      </c>
    </row>
    <row r="6">
      <c r="B6" t="inlineStr">
        <is>
          <t xml:space="preserve">  same, end-2024</t>
        </is>
      </c>
      <c r="C6" t="inlineStr">
        <is>
          <t>3.9%</t>
        </is>
      </c>
      <c r="D6" s="15" t="inlineStr">
        <is>
          <t>JPM AI Capex 2.0, p.32</t>
        </is>
      </c>
      <c r="E6" s="15" t="inlineStr">
        <is>
          <t>VERIFIED against PDF text in research/</t>
        </is>
      </c>
    </row>
    <row r="7">
      <c r="B7" t="inlineStr">
        <is>
          <t>Wide HG ecosystem</t>
        </is>
      </c>
      <c r="C7" t="inlineStr">
        <is>
          <t>15.5% / $1.4tn</t>
        </is>
      </c>
      <c r="D7" s="15" t="inlineStr">
        <is>
          <t>JPM AI Capex 2.0, p.32</t>
        </is>
      </c>
      <c r="E7" s="15" t="inlineStr">
        <is>
          <t>VERIFIED against PDF text in research/</t>
        </is>
      </c>
    </row>
    <row r="8">
      <c r="B8" t="inlineStr">
        <is>
          <t>AI HG issuance YTD 2026</t>
        </is>
      </c>
      <c r="C8" t="inlineStr">
        <is>
          <t>$165bn</t>
        </is>
      </c>
      <c r="D8" s="15" t="inlineStr">
        <is>
          <t>JPM AI Capex 2.0, p.32, Fig 28 (USD series)</t>
        </is>
      </c>
      <c r="E8" s="15" t="inlineStr">
        <is>
          <t>VERIFIED against PDF text in research/</t>
        </is>
      </c>
    </row>
    <row r="9">
      <c r="B9" t="inlineStr">
        <is>
          <t>5yr HG AI borrowing</t>
        </is>
      </c>
      <c r="C9" t="inlineStr">
        <is>
          <t>$2.1tn</t>
        </is>
      </c>
      <c r="D9" s="15" t="inlineStr">
        <is>
          <t>JPM AI Capex 2.0, p.32 (global, USD + non-USD)</t>
        </is>
      </c>
      <c r="E9" s="15" t="inlineStr">
        <is>
          <t>VERIFIED against PDF text in research/</t>
        </is>
      </c>
    </row>
    <row r="10">
      <c r="B10" t="inlineStr">
        <is>
          <t>2026 bridge</t>
        </is>
      </c>
      <c r="C10" t="inlineStr">
        <is>
          <t>150 / 100 / 170 / 5-15</t>
        </is>
      </c>
      <c r="D10" s="15" t="inlineStr">
        <is>
          <t>JPM AI Capex 2.0, p.32</t>
        </is>
      </c>
      <c r="E10" s="15" t="inlineStr">
        <is>
          <t>VERIFIED against PDF text in research/</t>
        </is>
      </c>
    </row>
    <row r="11">
      <c r="B11" t="inlineStr">
        <is>
          <t>USD hyperscaler avg maturity</t>
        </is>
      </c>
      <c r="C11" t="inlineStr">
        <is>
          <t>17 yrs</t>
        </is>
      </c>
      <c r="D11" s="15" t="inlineStr">
        <is>
          <t>JPM AI Capex 2.0, p.34 (non-USD 14 yrs)</t>
        </is>
      </c>
      <c r="E11" s="15" t="inlineStr">
        <is>
          <t>VERIFIED against PDF text in research/</t>
        </is>
      </c>
    </row>
    <row r="12">
      <c r="B12" t="inlineStr">
        <is>
          <t>HG market vs leveraged finance</t>
        </is>
      </c>
      <c r="C12" t="inlineStr">
        <is>
          <t>3x</t>
        </is>
      </c>
      <c r="D12" s="15" t="inlineStr">
        <is>
          <t>JPM AI Capex 2.0, p.27</t>
        </is>
      </c>
      <c r="E12" s="15" t="inlineStr">
        <is>
          <t>VERIFIED against PDF text in research/</t>
        </is>
      </c>
    </row>
    <row r="13">
      <c r="B13" t="inlineStr">
        <is>
          <t>HPC HY weight</t>
        </is>
      </c>
      <c r="C13" t="inlineStr">
        <is>
          <t>2.75% / $39.8bn / 12 issuers</t>
        </is>
      </c>
      <c r="D13" s="15" t="inlineStr">
        <is>
          <t>JPM AI Capex 2.0, p.36</t>
        </is>
      </c>
      <c r="E13" s="15" t="inlineStr">
        <is>
          <t>VERIFIED against PDF text in research/</t>
        </is>
      </c>
    </row>
    <row r="14">
      <c r="B14" t="inlineStr">
        <is>
          <t xml:space="preserve">  same, end-2025</t>
        </is>
      </c>
      <c r="C14" t="inlineStr">
        <is>
          <t>1.07%</t>
        </is>
      </c>
      <c r="D14" s="15" t="inlineStr">
        <is>
          <t>JPM AI Capex 2.0, p.36</t>
        </is>
      </c>
      <c r="E14" s="15" t="inlineStr">
        <is>
          <t>VERIFIED against PDF text in research/</t>
        </is>
      </c>
    </row>
    <row r="15">
      <c r="B15" t="inlineStr">
        <is>
          <t>HPC HY issuance YTD</t>
        </is>
      </c>
      <c r="C15" t="inlineStr">
        <is>
          <t>$31.1bn of $76.9bn non-refi</t>
        </is>
      </c>
      <c r="D15" s="15" t="inlineStr">
        <is>
          <t>JPM AI Capex 2.0, p.36</t>
        </is>
      </c>
      <c r="E15" s="15" t="inlineStr">
        <is>
          <t>VERIFIED against PDF text in research/</t>
        </is>
      </c>
    </row>
    <row r="16">
      <c r="B16" t="inlineStr">
        <is>
          <t>HY market growth 2026</t>
        </is>
      </c>
      <c r="C16" t="inlineStr">
        <is>
          <t>+$48bn</t>
        </is>
      </c>
      <c r="D16" s="15" t="inlineStr">
        <is>
          <t>JPM AI Capex 2.0, p.36</t>
        </is>
      </c>
      <c r="E16" s="15" t="inlineStr">
        <is>
          <t>VERIFIED against PDF text in research/</t>
        </is>
      </c>
    </row>
    <row r="17">
      <c r="B17" t="inlineStr">
        <is>
          <t>2026 HPC lev-fin forecast</t>
        </is>
      </c>
      <c r="C17" t="inlineStr">
        <is>
          <t>$80bn (65 HY / 15 LL)</t>
        </is>
      </c>
      <c r="D17" s="15" t="inlineStr">
        <is>
          <t>JPM AI Capex 2.0, p.40</t>
        </is>
      </c>
      <c r="E17" s="15" t="inlineStr">
        <is>
          <t>VERIFIED against PDF text in research/</t>
        </is>
      </c>
    </row>
    <row r="18">
      <c r="B18" t="inlineStr">
        <is>
          <t>HPC end-2026 waypoint</t>
        </is>
      </c>
      <c r="C18" t="inlineStr">
        <is>
          <t>~4.5% of HY index</t>
        </is>
      </c>
      <c r="D18" s="15" t="inlineStr">
        <is>
          <t>JPM AI Capex 2.0, p.40</t>
        </is>
      </c>
      <c r="E18" s="15" t="inlineStr">
        <is>
          <t>VERIFIED against PDF text in research/</t>
        </is>
      </c>
    </row>
    <row r="19">
      <c r="B19" t="inlineStr">
        <is>
          <t>2026-30 HPC issuance</t>
        </is>
      </c>
      <c r="C19" t="inlineStr">
        <is>
          <t>$350bn, peak 2027</t>
        </is>
      </c>
      <c r="D19" s="15" t="inlineStr">
        <is>
          <t>JPM AI Capex 2.0, p.40</t>
        </is>
      </c>
      <c r="E19" s="15" t="inlineStr">
        <is>
          <t>VERIFIED against PDF text in research/</t>
        </is>
      </c>
    </row>
    <row r="20">
      <c r="B20" t="inlineStr">
        <is>
          <t>HY Technology headroom</t>
        </is>
      </c>
      <c r="C20" t="inlineStr">
        <is>
          <t>could double, +$100bn</t>
        </is>
      </c>
      <c r="D20" s="15" t="inlineStr">
        <is>
          <t>JPM AI Capex 2.0, p.40</t>
        </is>
      </c>
      <c r="E20" s="15" t="inlineStr">
        <is>
          <t>VERIFIED against PDF text in research/</t>
        </is>
      </c>
    </row>
    <row r="21">
      <c r="B21" t="inlineStr">
        <is>
          <t>US IG market size</t>
        </is>
      </c>
      <c r="C21" t="inlineStr">
        <is>
          <t>approx US$10tn</t>
        </is>
      </c>
      <c r="D21" s="15" t="inlineStr">
        <is>
          <t>MS A Break from the Heat, 14 Aug 2026, p.7</t>
        </is>
      </c>
      <c r="E21" s="15" t="inlineStr">
        <is>
          <t>VERIFIED against PDF text in research/</t>
        </is>
      </c>
    </row>
    <row r="22">
      <c r="B22" t="inlineStr">
        <is>
          <t>AI factor exposure in IG</t>
        </is>
      </c>
      <c r="C22" t="inlineStr">
        <is>
          <t>&lt;3% -&gt; slightly over 6%</t>
        </is>
      </c>
      <c r="D22" s="15" t="inlineStr">
        <is>
          <t>MS A Break from the Heat, p.7</t>
        </is>
      </c>
      <c r="E22" s="15" t="inlineStr">
        <is>
          <t>VERIFIED against PDF text in research/</t>
        </is>
      </c>
    </row>
    <row r="23">
      <c r="B23" t="inlineStr">
        <is>
          <t>IG capacity to 14.2 / 14.5%</t>
        </is>
      </c>
      <c r="C23" t="inlineStr">
        <is>
          <t>$679bn / $711bn</t>
        </is>
      </c>
      <c r="D23" s="15" t="inlineStr">
        <is>
          <t>MS A Break from the Heat, Exhibit 11</t>
        </is>
      </c>
      <c r="E23" s="30" t="inlineStr">
        <is>
          <t>VERIFIED and REPRODUCIBLE on a $7.15tn implied index base - see note</t>
        </is>
      </c>
    </row>
    <row r="24">
      <c r="B24" t="inlineStr">
        <is>
          <t>Single-name capacity</t>
        </is>
      </c>
      <c r="C24" t="inlineStr">
        <is>
          <t>$796bn</t>
        </is>
      </c>
      <c r="D24" s="15" t="inlineStr">
        <is>
          <t>MS A Break from the Heat, Exhibit 13</t>
        </is>
      </c>
      <c r="E24" s="15" t="inlineStr">
        <is>
          <t>VERIFIED against PDF text in research/</t>
        </is>
      </c>
    </row>
    <row r="25">
      <c r="B25" t="inlineStr">
        <is>
          <t>HY AI exposure</t>
        </is>
      </c>
      <c r="C25" t="inlineStr">
        <is>
          <t>~3%</t>
        </is>
      </c>
      <c r="D25" s="15" t="inlineStr">
        <is>
          <t>MS A Break from the Heat, p.10</t>
        </is>
      </c>
      <c r="E25" s="15" t="inlineStr">
        <is>
          <t>VERIFIED against PDF text in research/</t>
        </is>
      </c>
    </row>
    <row r="26">
      <c r="B26" t="inlineStr">
        <is>
          <t>HY capacity to 15%</t>
        </is>
      </c>
      <c r="C26" t="inlineStr">
        <is>
          <t>~$170bn</t>
        </is>
      </c>
      <c r="D26" s="15" t="inlineStr">
        <is>
          <t>MS A Break from the Heat, p.10</t>
        </is>
      </c>
      <c r="E26" s="15" t="inlineStr">
        <is>
          <t>VERIFIED against PDF text in research/</t>
        </is>
      </c>
    </row>
    <row r="27">
      <c r="B27" t="inlineStr">
        <is>
          <t>HY graduation mechanism</t>
        </is>
      </c>
      <c r="C27" t="inlineStr">
        <is>
          <t>qualitative only</t>
        </is>
      </c>
      <c r="D27" s="15" t="inlineStr">
        <is>
          <t>MS A Break from the Heat, p.10</t>
        </is>
      </c>
      <c r="E27" s="15" t="inlineStr">
        <is>
          <t>VERIFIED against PDF text in research/</t>
        </is>
      </c>
    </row>
    <row r="28">
      <c r="B28" t="inlineStr">
        <is>
          <t>Public IG absorption ceiling</t>
        </is>
      </c>
      <c r="C28" t="inlineStr">
        <is>
          <t>&lt; $1 trillion to 2030</t>
        </is>
      </c>
      <c r="D28" s="15" t="inlineStr">
        <is>
          <t>Apollo 2026 Midyear Credit Outlook, p.15</t>
        </is>
      </c>
      <c r="E28" s="15" t="inlineStr">
        <is>
          <t>VERIFIED against PDF text in research/</t>
        </is>
      </c>
    </row>
    <row r="29">
      <c r="B29" t="inlineStr">
        <is>
          <t>AI ecosystem IG capacity</t>
        </is>
      </c>
      <c r="C29" t="inlineStr">
        <is>
          <t>&gt; $2 trillion</t>
        </is>
      </c>
      <c r="D29" s="15" t="inlineStr">
        <is>
          <t>Apollo Midyear, p.15</t>
        </is>
      </c>
      <c r="E29" s="15" t="inlineStr">
        <is>
          <t>VERIFIED against PDF text in research/</t>
        </is>
      </c>
    </row>
    <row r="30">
      <c r="B30" t="inlineStr">
        <is>
          <t>Hyperscaler index path</t>
        </is>
      </c>
      <c r="C30" t="inlineStr">
        <is>
          <t>2.7% / 4.8% / 8.8%</t>
        </is>
      </c>
      <c r="D30" s="15" t="inlineStr">
        <is>
          <t>Apollo Midyear, Exhibit 27, p.18</t>
        </is>
      </c>
      <c r="E30" s="15" t="inlineStr">
        <is>
          <t>VERIFIED against PDF text in research/</t>
        </is>
      </c>
    </row>
    <row r="31">
      <c r="B31" t="inlineStr">
        <is>
          <t>Net IG issuance 2026</t>
        </is>
      </c>
      <c r="C31" t="inlineStr">
        <is>
          <t>on pace for $1tn</t>
        </is>
      </c>
      <c r="D31" s="15" t="inlineStr">
        <is>
          <t>Apollo Midyear, p.12</t>
        </is>
      </c>
      <c r="E31" s="15" t="inlineStr">
        <is>
          <t>VERIFIED against PDF text in research/</t>
        </is>
      </c>
    </row>
    <row r="32">
      <c r="B32" t="inlineStr">
        <is>
          <t>AI share of net IG issuance</t>
        </is>
      </c>
      <c r="C32" t="inlineStr">
        <is>
          <t>~1/3</t>
        </is>
      </c>
      <c r="D32" s="15" t="inlineStr">
        <is>
          <t>Apollo Midyear, p.18 (citing Goldman Sachs, Jun 2026)</t>
        </is>
      </c>
      <c r="E32" s="15" t="inlineStr">
        <is>
          <t>VERIFIED against PDF text in research/</t>
        </is>
      </c>
    </row>
    <row r="33">
      <c r="B33" t="inlineStr">
        <is>
          <t>AI share of 10y+ supply</t>
        </is>
      </c>
      <c r="C33" t="inlineStr">
        <is>
          <t>nearly 40%</t>
        </is>
      </c>
      <c r="D33" s="15" t="inlineStr">
        <is>
          <t>Apollo Midyear, p.14</t>
        </is>
      </c>
      <c r="E33" s="15" t="inlineStr">
        <is>
          <t>VERIFIED against PDF text in research/</t>
        </is>
      </c>
    </row>
    <row r="34">
      <c r="B34" t="inlineStr">
        <is>
          <t>HY direct data centre</t>
        </is>
      </c>
      <c r="C34" t="inlineStr">
        <is>
          <t>nearly 5% of index</t>
        </is>
      </c>
      <c r="D34" s="15" t="inlineStr">
        <is>
          <t>Apollo Midyear, p.18</t>
        </is>
      </c>
      <c r="E34" s="15" t="inlineStr">
        <is>
          <t>VERIFIED against PDF text in research/</t>
        </is>
      </c>
    </row>
    <row r="35">
      <c r="B35" t="inlineStr">
        <is>
          <t>Global AI capex range</t>
        </is>
      </c>
      <c r="C35" t="inlineStr">
        <is>
          <t>$5.2tn - $11.1tn</t>
        </is>
      </c>
      <c r="D35" s="15" t="inlineStr">
        <is>
          <t>Apollo Midyear, Exhibit 20, p.13</t>
        </is>
      </c>
      <c r="E35" s="15" t="inlineStr">
        <is>
          <t>VERIFIED against PDF text in research/</t>
        </is>
      </c>
    </row>
    <row r="36">
      <c r="B36" t="inlineStr">
        <is>
          <t>Hyperscaler capex path</t>
        </is>
      </c>
      <c r="C36" t="inlineStr">
        <is>
          <t>$500bn 2025 -&gt; $1.3tn 2030</t>
        </is>
      </c>
      <c r="D36" s="15" t="inlineStr">
        <is>
          <t>Apollo Midyear, p.13 (Bloomberg consensus)</t>
        </is>
      </c>
      <c r="E36" s="15" t="inlineStr">
        <is>
          <t>VERIFIED against PDF text in research/</t>
        </is>
      </c>
    </row>
    <row r="37">
      <c r="B37" t="inlineStr">
        <is>
          <t>MS hyperscaler capacity, ratings-neutral</t>
        </is>
      </c>
      <c r="C37" t="inlineStr">
        <is>
          <t>~$400bn</t>
        </is>
      </c>
      <c r="D37" s="15" t="inlineStr">
        <is>
          <t>MS A Break from the Heat, p.1</t>
        </is>
      </c>
      <c r="E37" s="30" t="inlineStr">
        <is>
          <t>VERIFIED - SINGLE-NAME family, not a Route A input</t>
        </is>
      </c>
    </row>
    <row r="38">
      <c r="B38" t="inlineStr">
        <is>
          <t>S&amp;P debt adjustments 2027</t>
        </is>
      </c>
      <c r="C38" t="inlineStr">
        <is>
          <t>~$585bn</t>
        </is>
      </c>
      <c r="D38" s="15" t="inlineStr">
        <is>
          <t>MS A Break from the Heat, p.15</t>
        </is>
      </c>
      <c r="E38" s="30" t="inlineStr">
        <is>
          <t>VERIFIED - leases, PPAs, guarantees</t>
        </is>
      </c>
    </row>
    <row r="39">
      <c r="B39" t="inlineStr">
        <is>
          <t>US IG AI issuance YTD</t>
        </is>
      </c>
      <c r="C39" t="inlineStr">
        <is>
          <t>~$267bn (+$62bn non-USD)</t>
        </is>
      </c>
      <c r="D39" s="15" t="inlineStr">
        <is>
          <t>MS A Break from the Heat, p.2</t>
        </is>
      </c>
      <c r="E39" s="30" t="inlineStr">
        <is>
          <t>VERIFIED</t>
        </is>
      </c>
    </row>
    <row r="40">
      <c r="B40" t="inlineStr">
        <is>
          <t>Hyperscaler capex increase into 2027</t>
        </is>
      </c>
      <c r="C40" t="inlineStr">
        <is>
          <t>57%</t>
        </is>
      </c>
      <c r="D40" s="15" t="inlineStr">
        <is>
          <t>MS A Break from the Heat, p.2</t>
        </is>
      </c>
      <c r="E40" s="30" t="inlineStr">
        <is>
          <t>VERIFIED - MS Equity Research</t>
        </is>
      </c>
    </row>
    <row r="41">
      <c r="B41" t="inlineStr">
        <is>
          <t>Hyperscaler FCF 2026 -&gt; 2027</t>
        </is>
      </c>
      <c r="C41" t="inlineStr">
        <is>
          <t>+$20bn -&gt; -$140bn</t>
        </is>
      </c>
      <c r="D41" s="15" t="inlineStr">
        <is>
          <t>MS A Break from the Heat, p.3</t>
        </is>
      </c>
      <c r="E41" s="30" t="inlineStr">
        <is>
          <t>VERIFIED</t>
        </is>
      </c>
    </row>
    <row r="42">
      <c r="B42" t="inlineStr">
        <is>
          <t>Software/services maturity wall</t>
        </is>
      </c>
      <c r="C42" t="inlineStr">
        <is>
          <t>&gt; $100bn, 2027-29</t>
        </is>
      </c>
      <c r="D42" s="15" t="inlineStr">
        <is>
          <t>Apollo Midyear, p.11</t>
        </is>
      </c>
      <c r="E42" s="30" t="inlineStr">
        <is>
          <t>VERIFIED</t>
        </is>
      </c>
    </row>
    <row r="43">
      <c r="B43" t="inlineStr">
        <is>
          <t>Contractual backstops identified</t>
        </is>
      </c>
      <c r="C43" t="inlineStr">
        <is>
          <t>at least $90bn</t>
        </is>
      </c>
      <c r="D43" s="15" t="inlineStr">
        <is>
          <t>Apollo Midyear, p.16</t>
        </is>
      </c>
      <c r="E43" s="30" t="inlineStr">
        <is>
          <t>VERIFIED</t>
        </is>
      </c>
    </row>
    <row r="44">
      <c r="B44" t="inlineStr">
        <is>
          <t>GS hyperscaler absorption capacity</t>
        </is>
      </c>
      <c r="C44" t="inlineStr">
        <is>
          <t>~$510bn</t>
        </is>
      </c>
      <c r="D44" s="15" t="inlineStr">
        <is>
          <t>GS Exchanges, How AI Debt Is Reshaping Credit Markets</t>
        </is>
      </c>
      <c r="E44" s="30" t="inlineStr">
        <is>
          <t>CORROBORATED via secondary reporting - primary page HTTP 403. SINGLE-NAME family. Not a model input.</t>
        </is>
      </c>
    </row>
    <row r="45">
      <c r="B45" t="inlineStr">
        <is>
          <t>GS hyperscaler borrowing capacity</t>
        </is>
      </c>
      <c r="C45" t="inlineStr">
        <is>
          <t>~$2tn at 2x net leverage</t>
        </is>
      </c>
      <c r="D45" s="15" t="inlineStr">
        <is>
          <t>GS Exchanges, same</t>
        </is>
      </c>
      <c r="E45" s="30" t="inlineStr">
        <is>
          <t>CORROBORATED - mirrors Apollo's &gt;$2tn / &lt;$1tn split</t>
        </is>
      </c>
    </row>
    <row r="46">
      <c r="B46" t="inlineStr">
        <is>
          <t>GS largest IG issuer benchmark</t>
        </is>
      </c>
      <c r="C46" t="inlineStr">
        <is>
          <t>&lt;= $175bn, &lt;= 2.3% of index</t>
        </is>
      </c>
      <c r="D46" s="15" t="inlineStr">
        <is>
          <t>GS Exchanges, same</t>
        </is>
      </c>
      <c r="E46" s="30" t="inlineStr">
        <is>
          <t>CORROBORATED - implies a $7.2-7.6tn index base. SEE DENOMINATOR TEST</t>
        </is>
      </c>
    </row>
    <row r="47">
      <c r="B47" t="inlineStr">
        <is>
          <t>DC securitisation forecast</t>
        </is>
      </c>
      <c r="C47" t="inlineStr">
        <is>
          <t>$61bn -&gt; $180bn by 2028</t>
        </is>
      </c>
      <c r="D47" s="15" t="inlineStr">
        <is>
          <t>Structured Finance Association, Jul 2026</t>
        </is>
      </c>
      <c r="E47" s="30" t="inlineStr">
        <is>
          <t>EXTERNAL - not held locally, not verified</t>
        </is>
      </c>
    </row>
    <row r="48">
      <c r="B48" t="inlineStr">
        <is>
          <t>Broad ecosystem to 2030</t>
        </is>
      </c>
      <c r="C48" t="inlineStr">
        <is>
          <t>&gt; 20%</t>
        </is>
      </c>
      <c r="D48" s="15" t="inlineStr">
        <is>
          <t>BoE FSR Dec 2025 / JPM 75-issuer work</t>
        </is>
      </c>
      <c r="E48" s="30" t="inlineStr">
        <is>
          <t>EXTERNAL - not held locally, not verified</t>
        </is>
      </c>
    </row>
    <row r="49">
      <c r="B49" t="inlineStr">
        <is>
          <t>Five-name USD IG stock</t>
        </is>
      </c>
      <c r="C49" t="inlineStr">
        <is>
          <t>3% at end-2025</t>
        </is>
      </c>
      <c r="D49" s="15" t="inlineStr">
        <is>
          <t>BoE FSR Jul 2026</t>
        </is>
      </c>
      <c r="E49" s="30" t="inlineStr">
        <is>
          <t>EXTERNAL - not held locally, not verified</t>
        </is>
      </c>
    </row>
    <row r="51">
      <c r="B51" s="3" t="inlineStr">
        <is>
          <t>NOTE - how the MS capacity figures reconcile</t>
        </is>
      </c>
    </row>
    <row r="52">
      <c r="B52" s="2" t="inlineStr">
        <is>
          <t>MS Exhibit 11 gives $679bn to reach 14.2% and $711bn to reach 14.5%. Solving each DIRECTLY as</t>
        </is>
      </c>
    </row>
    <row r="53">
      <c r="B53" s="2" t="inlineStr">
        <is>
          <t>X = I x (t - s) / (1 - t) with a 6.0% start, both reproduce on ONE implied index base of $7.15tn,</t>
        </is>
      </c>
    </row>
    <row r="54">
      <c r="B54" s="2" t="inlineStr">
        <is>
          <t>to within 0.7%. (Differencing the two points instead is badly conditioned - a 3-in-1000 denominator</t>
        </is>
      </c>
    </row>
    <row r="55">
      <c r="B55" s="2" t="inlineStr">
        <is>
          <t>against inputs rounded to whole $bn - and produces a spurious $8.4-10.7tn. Do not use that method.)</t>
        </is>
      </c>
    </row>
    <row r="56">
      <c r="B56" s="2" t="inlineStr">
        <is>
          <t>The $7.15tn base sits below the same note's 'approximately US$10 trillion': that figure describes the</t>
        </is>
      </c>
    </row>
    <row r="57">
      <c r="B57" s="2" t="inlineStr">
        <is>
          <t>US IG MARKET and its investor base, while the capacity exhibit runs on an INDEX. Both are correct.</t>
        </is>
      </c>
    </row>
    <row r="58">
      <c r="B58" s="2" t="inlineStr">
        <is>
          <t>Rescaled to C0A0 on the same logic, MS implies $898-935bn - independently corroborating Apollo's</t>
        </is>
      </c>
    </row>
    <row r="59">
      <c r="B59" s="2" t="inlineStr">
        <is>
          <t>sub-$1tn ceiling from a completely different method (historical sector-share ceilings vs ratings and</t>
        </is>
      </c>
    </row>
    <row r="60">
      <c r="B60" s="2" t="inlineStr">
        <is>
          <t>single-name limits). This convergence is the strongest quantitative result in the section.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21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30" customWidth="1" min="4" max="4"/>
    <col width="52" customWidth="1" min="5" max="5"/>
  </cols>
  <sheetData>
    <row r="2">
      <c r="B2" s="11" t="inlineStr">
        <is>
          <t>DATA STILL REQUIRED</t>
        </is>
      </c>
    </row>
    <row r="3">
      <c r="B3" s="2" t="inlineStr">
        <is>
          <t>Items 1-4 are yours to supply. Items 5-7 are not available from any source in the workspace.</t>
        </is>
      </c>
    </row>
    <row r="5">
      <c r="A5" s="12" t="inlineStr"/>
      <c r="B5" s="12" t="inlineStr">
        <is>
          <t>Input</t>
        </is>
      </c>
      <c r="C5" s="12" t="inlineStr">
        <is>
          <t>Cell</t>
        </is>
      </c>
      <c r="D5" s="12" t="inlineStr">
        <is>
          <t>Effect on the answer</t>
        </is>
      </c>
      <c r="E5" s="12" t="inlineStr">
        <is>
          <t>Status</t>
        </is>
      </c>
    </row>
    <row r="6">
      <c r="B6" t="inlineStr">
        <is>
          <t>C0A0 dirty market value, Aug-2026</t>
        </is>
      </c>
      <c r="C6" t="inlineStr">
        <is>
          <t>Inputs!C6</t>
        </is>
      </c>
      <c r="D6" s="15" t="inlineStr">
        <is>
          <t>+/- $1tn moves IG 2030 by ~1.2pp</t>
        </is>
      </c>
      <c r="E6" s="31" t="inlineStr">
        <is>
          <t>RECEIVED - $9.4tn</t>
        </is>
      </c>
    </row>
    <row r="7">
      <c r="B7" t="inlineStr">
        <is>
          <t>C0A0 par market value, Aug-2026</t>
        </is>
      </c>
      <c r="C7" t="inlineStr">
        <is>
          <t>Inputs!C7</t>
        </is>
      </c>
      <c r="D7" s="15" t="inlineStr">
        <is>
          <t>Basis check only, ~0.2pp</t>
        </is>
      </c>
      <c r="E7" s="30" t="inlineStr">
        <is>
          <t>OUTSTANDING</t>
        </is>
      </c>
    </row>
    <row r="8">
      <c r="B8" t="inlineStr">
        <is>
          <t>H0A0 market value, Aug-2026</t>
        </is>
      </c>
      <c r="C8" t="inlineStr">
        <is>
          <t>Inputs!C27</t>
        </is>
      </c>
      <c r="D8" s="15" t="inlineStr">
        <is>
          <t>Replaces the $1,447bn back-solve</t>
        </is>
      </c>
      <c r="E8" s="30" t="inlineStr">
        <is>
          <t>OUTSTANDING</t>
        </is>
      </c>
    </row>
    <row r="9">
      <c r="B9" t="inlineStr">
        <is>
          <t>Largest single-issuer weight in C0A0</t>
        </is>
      </c>
      <c r="C9" t="inlineStr">
        <is>
          <t>validates C6</t>
        </is>
      </c>
      <c r="D9" s="15" t="inlineStr">
        <is>
          <t>If ~2.3% the universes reconcile; if ~1.9% C0A0 is broader than the index MS/GS quote and the $898-935bn rescaling is overstated</t>
        </is>
      </c>
      <c r="E9" s="30" t="inlineStr">
        <is>
          <t>OUTSTANDING - HIGHEST PRIORITY</t>
        </is>
      </c>
    </row>
    <row r="10">
      <c r="B10" t="inlineStr">
        <is>
          <t>C0A0 MV time series (3/5/10yr)</t>
        </is>
      </c>
      <c r="C10" t="inlineStr">
        <is>
          <t>Inputs!C10:C12</t>
        </is>
      </c>
      <c r="D10" s="15" t="inlineStr">
        <is>
          <t>g 3% -&gt; 5% moves IG 2030 by ~1.0pp</t>
        </is>
      </c>
      <c r="E10" s="30" t="inlineStr">
        <is>
          <t>OUTSTANDING</t>
        </is>
      </c>
    </row>
    <row r="11">
      <c r="B11" t="inlineStr">
        <is>
          <t>H0A0 MV time series</t>
        </is>
      </c>
      <c r="C11" t="inlineStr">
        <is>
          <t>Inputs!C29</t>
        </is>
      </c>
      <c r="D11" s="15" t="inlineStr">
        <is>
          <t>Currently held flat at 3%</t>
        </is>
      </c>
      <c r="E11" s="30" t="inlineStr">
        <is>
          <t>OUTSTANDING</t>
        </is>
      </c>
    </row>
    <row r="12">
      <c r="B12" t="inlineStr">
        <is>
          <t>Cohort constituent list on C0A0</t>
        </is>
      </c>
      <c r="C12" t="inlineStr">
        <is>
          <t>Inputs!C8</t>
        </is>
      </c>
      <c r="D12" s="15" t="inlineStr">
        <is>
          <t>Would replace JPM's unpublished 6.2% with a computed weight</t>
        </is>
      </c>
      <c r="E12" s="32" t="inlineStr">
        <is>
          <t>NOT AVAILABLE from any source</t>
        </is>
      </c>
    </row>
    <row r="13">
      <c r="B13" t="inlineStr">
        <is>
          <t>HY graduation rate to IG / ABS</t>
        </is>
      </c>
      <c r="C13" t="inlineStr">
        <is>
          <t>Inputs!C33:C35</t>
        </is>
      </c>
      <c r="D13" s="15" t="inlineStr">
        <is>
          <t>DRIVES THE ENTIRE 6-12% HY RANGE</t>
        </is>
      </c>
      <c r="E13" s="32" t="inlineStr">
        <is>
          <t>NOT QUANTIFIED by any source</t>
        </is>
      </c>
    </row>
    <row r="14">
      <c r="B14" t="inlineStr">
        <is>
          <t>Deal-level index-eligibility schedule</t>
        </is>
      </c>
      <c r="C14" t="inlineStr">
        <is>
          <t>Inputs!C15</t>
        </is>
      </c>
      <c r="D14" s="15" t="inlineStr">
        <is>
          <t>Would replace the 35-55% eligibility band</t>
        </is>
      </c>
      <c r="E14" s="32" t="inlineStr">
        <is>
          <t>NOT AVAILABLE from any source</t>
        </is>
      </c>
    </row>
    <row r="17">
      <c r="B17" s="3" t="inlineStr">
        <is>
          <t>SUGGESTED PROXIES if items 6-7 cannot be sourced</t>
        </is>
      </c>
    </row>
    <row r="18">
      <c r="B18" s="2" t="inlineStr">
        <is>
          <t>Graduation rate: count HY -&gt; IG rating migrations for data-centre / HPC issuers over 2026-27 as they occur,</t>
        </is>
      </c>
    </row>
    <row r="19">
      <c r="B19" s="2" t="inlineStr">
        <is>
          <t xml:space="preserve">  and track ABS/CMBS take-outs of named construction bonds. Two to three quarters of data would bound it.</t>
        </is>
      </c>
    </row>
    <row r="20">
      <c r="B20" s="2" t="inlineStr">
        <is>
          <t>Eligibility: track the share of each quarter's AI HG issuance that actually enters C0A0 within one month.</t>
        </is>
      </c>
    </row>
    <row r="21">
      <c r="B21" s="2" t="inlineStr">
        <is>
          <t xml:space="preserve">  This converts the 35-55% band into a measured series within a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2026-08-19T00:33:57Z</dcterms:created>
  <dcterms:modified xmlns:dcterms="http://purl.org/dc/terms/" xmlns:xsi="http://www.w3.org/2001/XMLSchema-instance" xsi:type="dcterms:W3CDTF">2026-08-19T00:33:57Z</dcterms:modified>
</cp:coreProperties>
</file>